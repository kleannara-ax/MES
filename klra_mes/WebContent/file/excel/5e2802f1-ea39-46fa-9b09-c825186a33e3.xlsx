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8_{B80E0838-F17A-492B-9529-A03859E14760}" xr6:coauthVersionLast="36" xr6:coauthVersionMax="36" xr10:uidLastSave="{00000000-0000-0000-0000-000000000000}"/>
  <bookViews>
    <workbookView xWindow="0" yWindow="0" windowWidth="25600" windowHeight="8040" tabRatio="751" firstSheet="9" activeTab="32"/>
  </bookViews>
  <sheets>
    <sheet name="1" sheetId="139" r:id="rId1"/>
    <sheet name="2" sheetId="174" r:id="rId2"/>
    <sheet name="3" sheetId="175" r:id="rId3"/>
    <sheet name="4" sheetId="176" r:id="rId4"/>
    <sheet name="5" sheetId="177" r:id="rId5"/>
    <sheet name="6" sheetId="178" r:id="rId6"/>
    <sheet name="7" sheetId="179" r:id="rId7"/>
    <sheet name="8" sheetId="180" r:id="rId8"/>
    <sheet name="9" sheetId="181" r:id="rId9"/>
    <sheet name="10" sheetId="182" r:id="rId10"/>
    <sheet name="11" sheetId="183" r:id="rId11"/>
    <sheet name="12" sheetId="184" r:id="rId12"/>
    <sheet name="13" sheetId="185" r:id="rId13"/>
    <sheet name="14" sheetId="186" r:id="rId14"/>
    <sheet name="15" sheetId="166" r:id="rId15"/>
    <sheet name="16" sheetId="167" r:id="rId16"/>
    <sheet name="17" sheetId="168" r:id="rId17"/>
    <sheet name="18" sheetId="169" r:id="rId18"/>
    <sheet name="19" sheetId="170" r:id="rId19"/>
    <sheet name="20" sheetId="171" r:id="rId20"/>
    <sheet name="21" sheetId="172" r:id="rId21"/>
    <sheet name="22" sheetId="173" r:id="rId22"/>
    <sheet name="23" sheetId="162" r:id="rId23"/>
    <sheet name="24" sheetId="163" r:id="rId24"/>
    <sheet name="25" sheetId="164" r:id="rId25"/>
    <sheet name="26" sheetId="165" r:id="rId26"/>
    <sheet name="27" sheetId="160" r:id="rId27"/>
    <sheet name="28" sheetId="161" r:id="rId28"/>
    <sheet name="29" sheetId="159" r:id="rId29"/>
    <sheet name="30" sheetId="187" r:id="rId30"/>
    <sheet name="31" sheetId="189" r:id="rId31"/>
    <sheet name="초지 펄프 배합비율" sheetId="188" r:id="rId32"/>
    <sheet name="QLT_prod_spec (수정금지_MES용)" sheetId="190" r:id="rId33"/>
  </sheets>
  <calcPr calcId="191029"/>
  <extLst>
    <ext xmlns:xcalcf="http://schemas.microsoft.com/office/spreadsheetml/2018/calcfeatures" uri="{B58B0392-4F1F-4190-BB64-5DF3571DCE5F}">
      <xcalcf:calcFeatures>
        <xcalcf:feature name="microsoft.com:Single"/>
      </xcalcf:calcFeatures>
    </ext>
  </extLst>
</workbook>
</file>

<file path=xl/calcChain.xml><?xml version="1.0" encoding="utf-8"?>
<calcChain xmlns="http://schemas.openxmlformats.org/spreadsheetml/2006/main">
  <c r="AD5" i="190" l="1"/>
  <c r="AD6" i="190"/>
  <c r="AD7" i="190"/>
  <c r="AD8" i="190"/>
  <c r="AD9" i="190"/>
  <c r="AD10" i="190"/>
  <c r="AD11" i="190"/>
  <c r="AD12" i="190"/>
  <c r="AD13" i="190"/>
  <c r="AD14" i="190"/>
  <c r="AD15" i="190"/>
  <c r="AD16" i="190"/>
  <c r="AD17" i="190"/>
  <c r="AD18" i="190"/>
  <c r="AD19" i="190"/>
  <c r="AD20" i="190"/>
  <c r="AD21" i="190"/>
  <c r="AD22" i="190"/>
  <c r="AD23" i="190"/>
  <c r="AD24" i="190"/>
  <c r="AD25" i="190"/>
  <c r="AD26" i="190"/>
  <c r="AD27" i="190"/>
  <c r="AD28" i="190"/>
  <c r="AD29" i="190"/>
  <c r="AD30" i="190"/>
  <c r="AD31" i="190"/>
  <c r="AD32" i="190"/>
  <c r="AD33" i="190"/>
  <c r="AD34" i="190"/>
  <c r="S5" i="190"/>
  <c r="S6" i="190"/>
  <c r="S7" i="190"/>
  <c r="S8" i="190"/>
  <c r="S9" i="190"/>
  <c r="S10" i="190"/>
  <c r="S11" i="190"/>
  <c r="S12" i="190"/>
  <c r="S13" i="190"/>
  <c r="S14" i="190"/>
  <c r="S15" i="190"/>
  <c r="S16" i="190"/>
  <c r="S17" i="190"/>
  <c r="S18" i="190"/>
  <c r="S19" i="190"/>
  <c r="S20" i="190"/>
  <c r="S21" i="190"/>
  <c r="S22" i="190"/>
  <c r="S23" i="190"/>
  <c r="S24" i="190"/>
  <c r="S25" i="190"/>
  <c r="S26" i="190"/>
  <c r="S27" i="190"/>
  <c r="S28" i="190"/>
  <c r="S29" i="190"/>
  <c r="S30" i="190"/>
  <c r="S31" i="190"/>
  <c r="S32" i="190"/>
  <c r="S33" i="190"/>
  <c r="S34" i="190"/>
  <c r="AD4" i="190"/>
  <c r="AC5" i="190"/>
  <c r="AC6" i="190"/>
  <c r="AC7" i="190"/>
  <c r="AC8" i="190"/>
  <c r="AC9" i="190"/>
  <c r="AC10" i="190"/>
  <c r="AC11" i="190"/>
  <c r="AC12" i="190"/>
  <c r="AC13" i="190"/>
  <c r="AC14" i="190"/>
  <c r="AC15" i="190"/>
  <c r="AC16" i="190"/>
  <c r="AC17" i="190"/>
  <c r="AC18" i="190"/>
  <c r="AC19" i="190"/>
  <c r="AC20" i="190"/>
  <c r="AC21" i="190"/>
  <c r="AC22" i="190"/>
  <c r="AC23" i="190"/>
  <c r="AC24" i="190"/>
  <c r="AC25" i="190"/>
  <c r="AC26" i="190"/>
  <c r="AC27" i="190"/>
  <c r="AC28" i="190"/>
  <c r="AC29" i="190"/>
  <c r="AC30" i="190"/>
  <c r="AC31" i="190"/>
  <c r="AC32" i="190"/>
  <c r="AC33" i="190"/>
  <c r="AC34" i="190"/>
  <c r="AC4" i="190"/>
  <c r="Q5" i="190"/>
  <c r="R5" i="190"/>
  <c r="T5" i="190"/>
  <c r="U5" i="190"/>
  <c r="V5" i="190"/>
  <c r="W5" i="190"/>
  <c r="X5" i="190"/>
  <c r="Y5" i="190"/>
  <c r="Z5" i="190"/>
  <c r="AA5" i="190"/>
  <c r="AB5" i="190"/>
  <c r="Q6" i="190"/>
  <c r="R6" i="190"/>
  <c r="T6" i="190"/>
  <c r="U6" i="190"/>
  <c r="V6" i="190"/>
  <c r="W6" i="190"/>
  <c r="X6" i="190"/>
  <c r="Y6" i="190"/>
  <c r="Z6" i="190"/>
  <c r="AA6" i="190"/>
  <c r="AB6" i="190"/>
  <c r="Q7" i="190"/>
  <c r="R7" i="190"/>
  <c r="T7" i="190"/>
  <c r="U7" i="190"/>
  <c r="V7" i="190"/>
  <c r="W7" i="190"/>
  <c r="X7" i="190"/>
  <c r="Y7" i="190"/>
  <c r="Z7" i="190"/>
  <c r="AA7" i="190"/>
  <c r="AB7" i="190"/>
  <c r="Q8" i="190"/>
  <c r="R8" i="190"/>
  <c r="T8" i="190"/>
  <c r="U8" i="190"/>
  <c r="V8" i="190"/>
  <c r="W8" i="190"/>
  <c r="X8" i="190"/>
  <c r="Y8" i="190"/>
  <c r="Z8" i="190"/>
  <c r="AA8" i="190"/>
  <c r="AB8" i="190"/>
  <c r="Q9" i="190"/>
  <c r="R9" i="190"/>
  <c r="T9" i="190"/>
  <c r="U9" i="190"/>
  <c r="V9" i="190"/>
  <c r="W9" i="190"/>
  <c r="X9" i="190"/>
  <c r="Y9" i="190"/>
  <c r="Z9" i="190"/>
  <c r="AA9" i="190"/>
  <c r="AB9" i="190"/>
  <c r="Q10" i="190"/>
  <c r="R10" i="190"/>
  <c r="T10" i="190"/>
  <c r="U10" i="190"/>
  <c r="V10" i="190"/>
  <c r="W10" i="190"/>
  <c r="X10" i="190"/>
  <c r="Y10" i="190"/>
  <c r="Z10" i="190"/>
  <c r="AA10" i="190"/>
  <c r="AB10" i="190"/>
  <c r="Q11" i="190"/>
  <c r="R11" i="190"/>
  <c r="T11" i="190"/>
  <c r="U11" i="190"/>
  <c r="V11" i="190"/>
  <c r="W11" i="190"/>
  <c r="X11" i="190"/>
  <c r="Y11" i="190"/>
  <c r="Z11" i="190"/>
  <c r="AA11" i="190"/>
  <c r="AB11" i="190"/>
  <c r="Q12" i="190"/>
  <c r="R12" i="190"/>
  <c r="T12" i="190"/>
  <c r="U12" i="190"/>
  <c r="V12" i="190"/>
  <c r="W12" i="190"/>
  <c r="X12" i="190"/>
  <c r="Y12" i="190"/>
  <c r="Z12" i="190"/>
  <c r="AA12" i="190"/>
  <c r="AB12" i="190"/>
  <c r="Q13" i="190"/>
  <c r="R13" i="190"/>
  <c r="T13" i="190"/>
  <c r="U13" i="190"/>
  <c r="V13" i="190"/>
  <c r="W13" i="190"/>
  <c r="X13" i="190"/>
  <c r="Y13" i="190"/>
  <c r="Z13" i="190"/>
  <c r="AA13" i="190"/>
  <c r="AB13" i="190"/>
  <c r="Q14" i="190"/>
  <c r="R14" i="190"/>
  <c r="T14" i="190"/>
  <c r="U14" i="190"/>
  <c r="V14" i="190"/>
  <c r="W14" i="190"/>
  <c r="X14" i="190"/>
  <c r="Y14" i="190"/>
  <c r="Z14" i="190"/>
  <c r="AA14" i="190"/>
  <c r="AB14" i="190"/>
  <c r="Q15" i="190"/>
  <c r="R15" i="190"/>
  <c r="T15" i="190"/>
  <c r="U15" i="190"/>
  <c r="V15" i="190"/>
  <c r="W15" i="190"/>
  <c r="X15" i="190"/>
  <c r="Y15" i="190"/>
  <c r="Z15" i="190"/>
  <c r="AA15" i="190"/>
  <c r="AB15" i="190"/>
  <c r="Q16" i="190"/>
  <c r="R16" i="190"/>
  <c r="T16" i="190"/>
  <c r="U16" i="190"/>
  <c r="V16" i="190"/>
  <c r="W16" i="190"/>
  <c r="X16" i="190"/>
  <c r="Y16" i="190"/>
  <c r="Z16" i="190"/>
  <c r="AA16" i="190"/>
  <c r="AB16" i="190"/>
  <c r="Q17" i="190"/>
  <c r="R17" i="190"/>
  <c r="T17" i="190"/>
  <c r="U17" i="190"/>
  <c r="V17" i="190"/>
  <c r="W17" i="190"/>
  <c r="X17" i="190"/>
  <c r="Y17" i="190"/>
  <c r="Z17" i="190"/>
  <c r="AA17" i="190"/>
  <c r="AB17" i="190"/>
  <c r="Q18" i="190"/>
  <c r="R18" i="190"/>
  <c r="T18" i="190"/>
  <c r="U18" i="190"/>
  <c r="V18" i="190"/>
  <c r="W18" i="190"/>
  <c r="X18" i="190"/>
  <c r="Y18" i="190"/>
  <c r="Z18" i="190"/>
  <c r="AA18" i="190"/>
  <c r="AB18" i="190"/>
  <c r="Q19" i="190"/>
  <c r="R19" i="190"/>
  <c r="T19" i="190"/>
  <c r="U19" i="190"/>
  <c r="V19" i="190"/>
  <c r="W19" i="190"/>
  <c r="X19" i="190"/>
  <c r="Y19" i="190"/>
  <c r="Z19" i="190"/>
  <c r="AA19" i="190"/>
  <c r="AB19" i="190"/>
  <c r="Q20" i="190"/>
  <c r="R20" i="190"/>
  <c r="T20" i="190"/>
  <c r="U20" i="190"/>
  <c r="V20" i="190"/>
  <c r="W20" i="190"/>
  <c r="X20" i="190"/>
  <c r="Y20" i="190"/>
  <c r="Z20" i="190"/>
  <c r="AA20" i="190"/>
  <c r="AB20" i="190"/>
  <c r="Q21" i="190"/>
  <c r="R21" i="190"/>
  <c r="T21" i="190"/>
  <c r="U21" i="190"/>
  <c r="V21" i="190"/>
  <c r="W21" i="190"/>
  <c r="X21" i="190"/>
  <c r="Y21" i="190"/>
  <c r="Z21" i="190"/>
  <c r="AA21" i="190"/>
  <c r="AB21" i="190"/>
  <c r="Q22" i="190"/>
  <c r="R22" i="190"/>
  <c r="T22" i="190"/>
  <c r="U22" i="190"/>
  <c r="V22" i="190"/>
  <c r="W22" i="190"/>
  <c r="X22" i="190"/>
  <c r="Y22" i="190"/>
  <c r="Z22" i="190"/>
  <c r="AA22" i="190"/>
  <c r="AB22" i="190"/>
  <c r="Q23" i="190"/>
  <c r="R23" i="190"/>
  <c r="T23" i="190"/>
  <c r="U23" i="190"/>
  <c r="V23" i="190"/>
  <c r="W23" i="190"/>
  <c r="X23" i="190"/>
  <c r="Y23" i="190"/>
  <c r="Z23" i="190"/>
  <c r="AA23" i="190"/>
  <c r="AB23" i="190"/>
  <c r="Q24" i="190"/>
  <c r="R24" i="190"/>
  <c r="T24" i="190"/>
  <c r="U24" i="190"/>
  <c r="V24" i="190"/>
  <c r="W24" i="190"/>
  <c r="X24" i="190"/>
  <c r="Y24" i="190"/>
  <c r="Z24" i="190"/>
  <c r="AA24" i="190"/>
  <c r="AB24" i="190"/>
  <c r="Q25" i="190"/>
  <c r="R25" i="190"/>
  <c r="T25" i="190"/>
  <c r="U25" i="190"/>
  <c r="V25" i="190"/>
  <c r="W25" i="190"/>
  <c r="X25" i="190"/>
  <c r="Y25" i="190"/>
  <c r="Z25" i="190"/>
  <c r="AA25" i="190"/>
  <c r="AB25" i="190"/>
  <c r="Q26" i="190"/>
  <c r="R26" i="190"/>
  <c r="T26" i="190"/>
  <c r="U26" i="190"/>
  <c r="V26" i="190"/>
  <c r="W26" i="190"/>
  <c r="X26" i="190"/>
  <c r="Y26" i="190"/>
  <c r="Z26" i="190"/>
  <c r="AA26" i="190"/>
  <c r="AB26" i="190"/>
  <c r="Q27" i="190"/>
  <c r="R27" i="190"/>
  <c r="T27" i="190"/>
  <c r="U27" i="190"/>
  <c r="V27" i="190"/>
  <c r="W27" i="190"/>
  <c r="X27" i="190"/>
  <c r="Y27" i="190"/>
  <c r="Z27" i="190"/>
  <c r="AA27" i="190"/>
  <c r="AB27" i="190"/>
  <c r="Q28" i="190"/>
  <c r="R28" i="190"/>
  <c r="T28" i="190"/>
  <c r="U28" i="190"/>
  <c r="V28" i="190"/>
  <c r="W28" i="190"/>
  <c r="X28" i="190"/>
  <c r="Y28" i="190"/>
  <c r="Z28" i="190"/>
  <c r="AA28" i="190"/>
  <c r="AB28" i="190"/>
  <c r="Q29" i="190"/>
  <c r="R29" i="190"/>
  <c r="T29" i="190"/>
  <c r="U29" i="190"/>
  <c r="V29" i="190"/>
  <c r="W29" i="190"/>
  <c r="X29" i="190"/>
  <c r="Y29" i="190"/>
  <c r="Z29" i="190"/>
  <c r="AA29" i="190"/>
  <c r="AB29" i="190"/>
  <c r="Q30" i="190"/>
  <c r="R30" i="190"/>
  <c r="T30" i="190"/>
  <c r="U30" i="190"/>
  <c r="V30" i="190"/>
  <c r="W30" i="190"/>
  <c r="X30" i="190"/>
  <c r="Y30" i="190"/>
  <c r="Z30" i="190"/>
  <c r="AA30" i="190"/>
  <c r="AB30" i="190"/>
  <c r="Q31" i="190"/>
  <c r="R31" i="190"/>
  <c r="T31" i="190"/>
  <c r="U31" i="190"/>
  <c r="V31" i="190"/>
  <c r="W31" i="190"/>
  <c r="X31" i="190"/>
  <c r="Y31" i="190"/>
  <c r="Z31" i="190"/>
  <c r="AA31" i="190"/>
  <c r="AB31" i="190"/>
  <c r="Q32" i="190"/>
  <c r="R32" i="190"/>
  <c r="T32" i="190"/>
  <c r="U32" i="190"/>
  <c r="V32" i="190"/>
  <c r="W32" i="190"/>
  <c r="X32" i="190"/>
  <c r="Y32" i="190"/>
  <c r="Z32" i="190"/>
  <c r="AA32" i="190"/>
  <c r="AB32" i="190"/>
  <c r="Q33" i="190"/>
  <c r="R33" i="190"/>
  <c r="T33" i="190"/>
  <c r="U33" i="190"/>
  <c r="V33" i="190"/>
  <c r="W33" i="190"/>
  <c r="X33" i="190"/>
  <c r="Y33" i="190"/>
  <c r="Z33" i="190"/>
  <c r="AA33" i="190"/>
  <c r="AB33" i="190"/>
  <c r="Q34" i="190"/>
  <c r="R34" i="190"/>
  <c r="T34" i="190"/>
  <c r="U34" i="190"/>
  <c r="V34" i="190"/>
  <c r="W34" i="190"/>
  <c r="X34" i="190"/>
  <c r="Y34" i="190"/>
  <c r="Z34" i="190"/>
  <c r="AA34" i="190"/>
  <c r="AB34" i="190"/>
  <c r="T4" i="190"/>
  <c r="U4" i="190"/>
  <c r="V4" i="190"/>
  <c r="W4" i="190"/>
  <c r="X4" i="190"/>
  <c r="Y4" i="190"/>
  <c r="Z4" i="190"/>
  <c r="AA4" i="190"/>
  <c r="AB4" i="190"/>
  <c r="R4" i="190"/>
  <c r="S4" i="190"/>
  <c r="Q4" i="190"/>
  <c r="I4" i="190"/>
  <c r="J4" i="190"/>
  <c r="K4" i="190"/>
  <c r="L4" i="190"/>
  <c r="M4" i="190"/>
  <c r="N4" i="190"/>
  <c r="O4" i="190"/>
  <c r="P4" i="190"/>
  <c r="I5" i="190"/>
  <c r="J5" i="190"/>
  <c r="K5" i="190"/>
  <c r="L5" i="190"/>
  <c r="M5" i="190"/>
  <c r="N5" i="190"/>
  <c r="O5" i="190"/>
  <c r="P5" i="190"/>
  <c r="I6" i="190"/>
  <c r="J6" i="190"/>
  <c r="K6" i="190"/>
  <c r="L6" i="190"/>
  <c r="M6" i="190"/>
  <c r="N6" i="190"/>
  <c r="O6" i="190"/>
  <c r="P6" i="190"/>
  <c r="I7" i="190"/>
  <c r="J7" i="190"/>
  <c r="K7" i="190"/>
  <c r="L7" i="190"/>
  <c r="M7" i="190"/>
  <c r="N7" i="190"/>
  <c r="O7" i="190"/>
  <c r="P7" i="190"/>
  <c r="I8" i="190"/>
  <c r="J8" i="190"/>
  <c r="K8" i="190"/>
  <c r="L8" i="190"/>
  <c r="M8" i="190"/>
  <c r="N8" i="190"/>
  <c r="O8" i="190"/>
  <c r="P8" i="190"/>
  <c r="I9" i="190"/>
  <c r="J9" i="190"/>
  <c r="K9" i="190"/>
  <c r="L9" i="190"/>
  <c r="M9" i="190"/>
  <c r="N9" i="190"/>
  <c r="O9" i="190"/>
  <c r="P9" i="190"/>
  <c r="I10" i="190"/>
  <c r="J10" i="190"/>
  <c r="K10" i="190"/>
  <c r="L10" i="190"/>
  <c r="M10" i="190"/>
  <c r="N10" i="190"/>
  <c r="O10" i="190"/>
  <c r="P10" i="190"/>
  <c r="I11" i="190"/>
  <c r="J11" i="190"/>
  <c r="K11" i="190"/>
  <c r="L11" i="190"/>
  <c r="M11" i="190"/>
  <c r="N11" i="190"/>
  <c r="O11" i="190"/>
  <c r="P11" i="190"/>
  <c r="I12" i="190"/>
  <c r="J12" i="190"/>
  <c r="K12" i="190"/>
  <c r="L12" i="190"/>
  <c r="M12" i="190"/>
  <c r="N12" i="190"/>
  <c r="O12" i="190"/>
  <c r="P12" i="190"/>
  <c r="I13" i="190"/>
  <c r="J13" i="190"/>
  <c r="K13" i="190"/>
  <c r="L13" i="190"/>
  <c r="M13" i="190"/>
  <c r="N13" i="190"/>
  <c r="O13" i="190"/>
  <c r="P13" i="190"/>
  <c r="I14" i="190"/>
  <c r="J14" i="190"/>
  <c r="K14" i="190"/>
  <c r="L14" i="190"/>
  <c r="M14" i="190"/>
  <c r="N14" i="190"/>
  <c r="O14" i="190"/>
  <c r="P14" i="190"/>
  <c r="I15" i="190"/>
  <c r="J15" i="190"/>
  <c r="K15" i="190"/>
  <c r="L15" i="190"/>
  <c r="M15" i="190"/>
  <c r="N15" i="190"/>
  <c r="O15" i="190"/>
  <c r="P15" i="190"/>
  <c r="I16" i="190"/>
  <c r="J16" i="190"/>
  <c r="K16" i="190"/>
  <c r="L16" i="190"/>
  <c r="M16" i="190"/>
  <c r="N16" i="190"/>
  <c r="O16" i="190"/>
  <c r="P16" i="190"/>
  <c r="I17" i="190"/>
  <c r="J17" i="190"/>
  <c r="K17" i="190"/>
  <c r="L17" i="190"/>
  <c r="M17" i="190"/>
  <c r="N17" i="190"/>
  <c r="O17" i="190"/>
  <c r="P17" i="190"/>
  <c r="I18" i="190"/>
  <c r="J18" i="190"/>
  <c r="K18" i="190"/>
  <c r="L18" i="190"/>
  <c r="M18" i="190"/>
  <c r="N18" i="190"/>
  <c r="O18" i="190"/>
  <c r="P18" i="190"/>
  <c r="I19" i="190"/>
  <c r="J19" i="190"/>
  <c r="K19" i="190"/>
  <c r="L19" i="190"/>
  <c r="M19" i="190"/>
  <c r="N19" i="190"/>
  <c r="O19" i="190"/>
  <c r="P19" i="190"/>
  <c r="I20" i="190"/>
  <c r="J20" i="190"/>
  <c r="K20" i="190"/>
  <c r="L20" i="190"/>
  <c r="M20" i="190"/>
  <c r="N20" i="190"/>
  <c r="O20" i="190"/>
  <c r="P20" i="190"/>
  <c r="I21" i="190"/>
  <c r="J21" i="190"/>
  <c r="K21" i="190"/>
  <c r="L21" i="190"/>
  <c r="M21" i="190"/>
  <c r="N21" i="190"/>
  <c r="O21" i="190"/>
  <c r="P21" i="190"/>
  <c r="I22" i="190"/>
  <c r="J22" i="190"/>
  <c r="K22" i="190"/>
  <c r="L22" i="190"/>
  <c r="M22" i="190"/>
  <c r="N22" i="190"/>
  <c r="O22" i="190"/>
  <c r="P22" i="190"/>
  <c r="I23" i="190"/>
  <c r="J23" i="190"/>
  <c r="K23" i="190"/>
  <c r="L23" i="190"/>
  <c r="M23" i="190"/>
  <c r="N23" i="190"/>
  <c r="O23" i="190"/>
  <c r="P23" i="190"/>
  <c r="I24" i="190"/>
  <c r="J24" i="190"/>
  <c r="K24" i="190"/>
  <c r="L24" i="190"/>
  <c r="M24" i="190"/>
  <c r="N24" i="190"/>
  <c r="O24" i="190"/>
  <c r="P24" i="190"/>
  <c r="I25" i="190"/>
  <c r="J25" i="190"/>
  <c r="K25" i="190"/>
  <c r="L25" i="190"/>
  <c r="M25" i="190"/>
  <c r="N25" i="190"/>
  <c r="O25" i="190"/>
  <c r="P25" i="190"/>
  <c r="I26" i="190"/>
  <c r="J26" i="190"/>
  <c r="K26" i="190"/>
  <c r="L26" i="190"/>
  <c r="M26" i="190"/>
  <c r="N26" i="190"/>
  <c r="O26" i="190"/>
  <c r="P26" i="190"/>
  <c r="I27" i="190"/>
  <c r="J27" i="190"/>
  <c r="K27" i="190"/>
  <c r="L27" i="190"/>
  <c r="M27" i="190"/>
  <c r="N27" i="190"/>
  <c r="O27" i="190"/>
  <c r="P27" i="190"/>
  <c r="I28" i="190"/>
  <c r="J28" i="190"/>
  <c r="K28" i="190"/>
  <c r="L28" i="190"/>
  <c r="M28" i="190"/>
  <c r="N28" i="190"/>
  <c r="O28" i="190"/>
  <c r="P28" i="190"/>
  <c r="I29" i="190"/>
  <c r="J29" i="190"/>
  <c r="K29" i="190"/>
  <c r="L29" i="190"/>
  <c r="M29" i="190"/>
  <c r="N29" i="190"/>
  <c r="O29" i="190"/>
  <c r="P29" i="190"/>
  <c r="I30" i="190"/>
  <c r="J30" i="190"/>
  <c r="K30" i="190"/>
  <c r="L30" i="190"/>
  <c r="M30" i="190"/>
  <c r="N30" i="190"/>
  <c r="O30" i="190"/>
  <c r="P30" i="190"/>
  <c r="I31" i="190"/>
  <c r="J31" i="190"/>
  <c r="K31" i="190"/>
  <c r="L31" i="190"/>
  <c r="M31" i="190"/>
  <c r="N31" i="190"/>
  <c r="O31" i="190"/>
  <c r="P31" i="190"/>
  <c r="I32" i="190"/>
  <c r="J32" i="190"/>
  <c r="K32" i="190"/>
  <c r="L32" i="190"/>
  <c r="M32" i="190"/>
  <c r="N32" i="190"/>
  <c r="O32" i="190"/>
  <c r="P32" i="190"/>
  <c r="I33" i="190"/>
  <c r="J33" i="190"/>
  <c r="K33" i="190"/>
  <c r="L33" i="190"/>
  <c r="M33" i="190"/>
  <c r="N33" i="190"/>
  <c r="O33" i="190"/>
  <c r="P33" i="190"/>
  <c r="I34" i="190"/>
  <c r="J34" i="190"/>
  <c r="K34" i="190"/>
  <c r="L34" i="190"/>
  <c r="M34" i="190"/>
  <c r="N34" i="190"/>
  <c r="O34" i="190"/>
  <c r="P34" i="190"/>
  <c r="H5" i="190"/>
  <c r="H6" i="190"/>
  <c r="H7" i="190"/>
  <c r="H8" i="190"/>
  <c r="H9" i="190"/>
  <c r="H10" i="190"/>
  <c r="H11" i="190"/>
  <c r="H12" i="190"/>
  <c r="H13" i="190"/>
  <c r="H14" i="190"/>
  <c r="H15" i="190"/>
  <c r="H16" i="190"/>
  <c r="H17" i="190"/>
  <c r="H18" i="190"/>
  <c r="H19" i="190"/>
  <c r="H20" i="190"/>
  <c r="H21" i="190"/>
  <c r="H22" i="190"/>
  <c r="H23" i="190"/>
  <c r="H24" i="190"/>
  <c r="H25" i="190"/>
  <c r="H26" i="190"/>
  <c r="H27" i="190"/>
  <c r="H28" i="190"/>
  <c r="H29" i="190"/>
  <c r="H30" i="190"/>
  <c r="H31" i="190"/>
  <c r="H32" i="190"/>
  <c r="H33" i="190"/>
  <c r="H34" i="190"/>
  <c r="H4" i="190"/>
  <c r="G5" i="190"/>
  <c r="G6" i="190"/>
  <c r="G7" i="190"/>
  <c r="G8" i="190"/>
  <c r="G9" i="190"/>
  <c r="G10" i="190"/>
  <c r="G11" i="190"/>
  <c r="G12" i="190"/>
  <c r="G13" i="190"/>
  <c r="G14" i="190"/>
  <c r="G15" i="190"/>
  <c r="G16" i="190"/>
  <c r="G17" i="190"/>
  <c r="G18" i="190"/>
  <c r="G19" i="190"/>
  <c r="G20" i="190"/>
  <c r="G21" i="190"/>
  <c r="G22" i="190"/>
  <c r="G23" i="190"/>
  <c r="G24" i="190"/>
  <c r="G25" i="190"/>
  <c r="G26" i="190"/>
  <c r="G27" i="190"/>
  <c r="G28" i="190"/>
  <c r="G29" i="190"/>
  <c r="G30" i="190"/>
  <c r="G31" i="190"/>
  <c r="G32" i="190"/>
  <c r="G33" i="190"/>
  <c r="G34" i="190"/>
  <c r="G4" i="190"/>
  <c r="F5" i="190"/>
  <c r="F6" i="190"/>
  <c r="F7" i="190"/>
  <c r="F8" i="190"/>
  <c r="F9" i="190"/>
  <c r="F10" i="190"/>
  <c r="F11" i="190"/>
  <c r="F12" i="190"/>
  <c r="F13" i="190"/>
  <c r="F14" i="190"/>
  <c r="F15" i="190"/>
  <c r="F16" i="190"/>
  <c r="F17" i="190"/>
  <c r="F18" i="190"/>
  <c r="F19" i="190"/>
  <c r="F20" i="190"/>
  <c r="F21" i="190"/>
  <c r="F22" i="190"/>
  <c r="F23" i="190"/>
  <c r="F24" i="190"/>
  <c r="F25" i="190"/>
  <c r="F26" i="190"/>
  <c r="F27" i="190"/>
  <c r="F28" i="190"/>
  <c r="F29" i="190"/>
  <c r="F30" i="190"/>
  <c r="F31" i="190"/>
  <c r="F32" i="190"/>
  <c r="F33" i="190"/>
  <c r="F34" i="190"/>
  <c r="F4" i="190"/>
  <c r="E5" i="190"/>
  <c r="E6" i="190"/>
  <c r="E7" i="190"/>
  <c r="E8" i="190"/>
  <c r="E9" i="190"/>
  <c r="E10" i="190"/>
  <c r="E11" i="190"/>
  <c r="E12" i="190"/>
  <c r="E13" i="190"/>
  <c r="E14" i="190"/>
  <c r="E15" i="190"/>
  <c r="E16" i="190"/>
  <c r="E17" i="190"/>
  <c r="E18" i="190"/>
  <c r="E19" i="190"/>
  <c r="E20" i="190"/>
  <c r="E21" i="190"/>
  <c r="E22" i="190"/>
  <c r="E23" i="190"/>
  <c r="E24" i="190"/>
  <c r="E25" i="190"/>
  <c r="E26" i="190"/>
  <c r="E27" i="190"/>
  <c r="E28" i="190"/>
  <c r="E29" i="190"/>
  <c r="E30" i="190"/>
  <c r="E31" i="190"/>
  <c r="E32" i="190"/>
  <c r="E33" i="190"/>
  <c r="E34" i="190"/>
  <c r="E4" i="190"/>
  <c r="I11" i="189"/>
  <c r="W9" i="175"/>
  <c r="W8" i="175"/>
  <c r="W7" i="175"/>
  <c r="W6" i="175"/>
  <c r="W9" i="176"/>
  <c r="W8" i="176"/>
  <c r="W7" i="176"/>
  <c r="W6" i="176"/>
  <c r="W9" i="177"/>
  <c r="W10" i="177"/>
  <c r="W8" i="177"/>
  <c r="W7" i="177"/>
  <c r="W6" i="177"/>
  <c r="W9" i="178"/>
  <c r="W8" i="178"/>
  <c r="W7" i="178"/>
  <c r="W6" i="178"/>
  <c r="W10" i="178"/>
  <c r="W9" i="179"/>
  <c r="W8" i="179"/>
  <c r="W10" i="179"/>
  <c r="W7" i="179"/>
  <c r="W6" i="179"/>
  <c r="W9" i="180"/>
  <c r="AB9" i="180"/>
  <c r="W8" i="180"/>
  <c r="W7" i="180"/>
  <c r="W6" i="180"/>
  <c r="W10" i="180"/>
  <c r="W9" i="181"/>
  <c r="W10" i="181"/>
  <c r="W8" i="181"/>
  <c r="W7" i="181"/>
  <c r="W6" i="181"/>
  <c r="W9" i="182"/>
  <c r="W8" i="182"/>
  <c r="W7" i="182"/>
  <c r="W10" i="182"/>
  <c r="W6" i="182"/>
  <c r="W9" i="183"/>
  <c r="W8" i="183"/>
  <c r="W7" i="183"/>
  <c r="W6" i="183"/>
  <c r="W10" i="183"/>
  <c r="W9" i="184"/>
  <c r="W8" i="184"/>
  <c r="W7" i="184"/>
  <c r="W6" i="184"/>
  <c r="AB6" i="184"/>
  <c r="W9" i="185"/>
  <c r="W10" i="185"/>
  <c r="W8" i="185"/>
  <c r="W7" i="185"/>
  <c r="W6" i="185"/>
  <c r="W9" i="186"/>
  <c r="W8" i="186"/>
  <c r="W7" i="186"/>
  <c r="W6" i="186"/>
  <c r="W9" i="166"/>
  <c r="W8" i="166"/>
  <c r="W7" i="166"/>
  <c r="W6" i="166"/>
  <c r="W9" i="167"/>
  <c r="W8" i="167"/>
  <c r="W7" i="167"/>
  <c r="W6" i="167"/>
  <c r="W10" i="167"/>
  <c r="W9" i="168"/>
  <c r="W8" i="168"/>
  <c r="W7" i="168"/>
  <c r="W6" i="168"/>
  <c r="W10" i="168"/>
  <c r="W9" i="169"/>
  <c r="W8" i="169"/>
  <c r="W7" i="169"/>
  <c r="W6" i="169"/>
  <c r="W9" i="170"/>
  <c r="W8" i="170"/>
  <c r="W7" i="170"/>
  <c r="W6" i="170"/>
  <c r="W9" i="171"/>
  <c r="W10" i="171"/>
  <c r="W8" i="171"/>
  <c r="W7" i="171"/>
  <c r="W6" i="171"/>
  <c r="W9" i="172"/>
  <c r="W8" i="172"/>
  <c r="W7" i="172"/>
  <c r="W10" i="172"/>
  <c r="W6" i="172"/>
  <c r="W9" i="173"/>
  <c r="W8" i="173"/>
  <c r="W7" i="173"/>
  <c r="W6" i="173"/>
  <c r="W10" i="173"/>
  <c r="W9" i="162"/>
  <c r="W8" i="162"/>
  <c r="W7" i="162"/>
  <c r="W6" i="162"/>
  <c r="W10" i="162"/>
  <c r="W9" i="163"/>
  <c r="W8" i="163"/>
  <c r="W7" i="163"/>
  <c r="W6" i="163"/>
  <c r="W10" i="163"/>
  <c r="W9" i="164"/>
  <c r="W8" i="164"/>
  <c r="W7" i="164"/>
  <c r="W6" i="164"/>
  <c r="W9" i="165"/>
  <c r="W8" i="165"/>
  <c r="W7" i="165"/>
  <c r="W6" i="165"/>
  <c r="W10" i="165"/>
  <c r="W9" i="160"/>
  <c r="W8" i="160"/>
  <c r="W7" i="160"/>
  <c r="W6" i="160"/>
  <c r="W10" i="160"/>
  <c r="W9" i="161"/>
  <c r="W8" i="161"/>
  <c r="W7" i="161"/>
  <c r="W6" i="161"/>
  <c r="W10" i="161"/>
  <c r="W9" i="159"/>
  <c r="W8" i="159"/>
  <c r="W7" i="159"/>
  <c r="W6" i="159"/>
  <c r="W9" i="187"/>
  <c r="W8" i="187"/>
  <c r="W7" i="187"/>
  <c r="W6" i="187"/>
  <c r="W9" i="189"/>
  <c r="W8" i="189"/>
  <c r="W7" i="189"/>
  <c r="W6" i="189"/>
  <c r="W9" i="174"/>
  <c r="W8" i="174"/>
  <c r="W7" i="174"/>
  <c r="W6" i="174"/>
  <c r="W7" i="139"/>
  <c r="W8" i="139"/>
  <c r="W9" i="139"/>
  <c r="U9" i="175"/>
  <c r="U8" i="175"/>
  <c r="U7" i="175"/>
  <c r="U6" i="175"/>
  <c r="U9" i="176"/>
  <c r="U8" i="176"/>
  <c r="U7" i="176"/>
  <c r="U6" i="176"/>
  <c r="U9" i="177"/>
  <c r="U8" i="177"/>
  <c r="U7" i="177"/>
  <c r="Z7" i="177"/>
  <c r="U6" i="177"/>
  <c r="U9" i="178"/>
  <c r="U8" i="178"/>
  <c r="U10" i="178"/>
  <c r="U7" i="178"/>
  <c r="U6" i="178"/>
  <c r="U9" i="179"/>
  <c r="U8" i="179"/>
  <c r="U7" i="179"/>
  <c r="U6" i="179"/>
  <c r="U9" i="180"/>
  <c r="U8" i="180"/>
  <c r="U7" i="180"/>
  <c r="U6" i="180"/>
  <c r="U9" i="181"/>
  <c r="U8" i="181"/>
  <c r="U10" i="181"/>
  <c r="U7" i="181"/>
  <c r="U6" i="181"/>
  <c r="U9" i="182"/>
  <c r="U8" i="182"/>
  <c r="Z8" i="182"/>
  <c r="U7" i="182"/>
  <c r="U6" i="182"/>
  <c r="U9" i="183"/>
  <c r="U8" i="183"/>
  <c r="U7" i="183"/>
  <c r="Z7" i="183"/>
  <c r="U6" i="183"/>
  <c r="U10" i="183"/>
  <c r="U9" i="184"/>
  <c r="U8" i="184"/>
  <c r="U7" i="184"/>
  <c r="U6" i="184"/>
  <c r="U9" i="185"/>
  <c r="U8" i="185"/>
  <c r="U10" i="185"/>
  <c r="U7" i="185"/>
  <c r="U6" i="185"/>
  <c r="U9" i="186"/>
  <c r="U8" i="186"/>
  <c r="U7" i="186"/>
  <c r="U6" i="186"/>
  <c r="U9" i="166"/>
  <c r="U8" i="166"/>
  <c r="U7" i="166"/>
  <c r="U6" i="166"/>
  <c r="U10" i="166"/>
  <c r="U9" i="167"/>
  <c r="U8" i="167"/>
  <c r="U7" i="167"/>
  <c r="U6" i="167"/>
  <c r="U9" i="168"/>
  <c r="U8" i="168"/>
  <c r="U7" i="168"/>
  <c r="U6" i="168"/>
  <c r="U9" i="169"/>
  <c r="U8" i="169"/>
  <c r="U7" i="169"/>
  <c r="U6" i="169"/>
  <c r="U9" i="170"/>
  <c r="U8" i="170"/>
  <c r="U7" i="170"/>
  <c r="U10" i="170"/>
  <c r="U6" i="170"/>
  <c r="U9" i="171"/>
  <c r="U8" i="171"/>
  <c r="U7" i="171"/>
  <c r="U6" i="171"/>
  <c r="U9" i="172"/>
  <c r="U8" i="172"/>
  <c r="U7" i="172"/>
  <c r="U6" i="172"/>
  <c r="U9" i="173"/>
  <c r="U8" i="173"/>
  <c r="U7" i="173"/>
  <c r="U6" i="173"/>
  <c r="U9" i="162"/>
  <c r="U8" i="162"/>
  <c r="U7" i="162"/>
  <c r="U6" i="162"/>
  <c r="U9" i="163"/>
  <c r="U8" i="163"/>
  <c r="U7" i="163"/>
  <c r="U6" i="163"/>
  <c r="U10" i="163"/>
  <c r="U9" i="164"/>
  <c r="U8" i="164"/>
  <c r="U7" i="164"/>
  <c r="U6" i="164"/>
  <c r="U9" i="165"/>
  <c r="U8" i="165"/>
  <c r="U7" i="165"/>
  <c r="Z7" i="165"/>
  <c r="U6" i="165"/>
  <c r="U9" i="160"/>
  <c r="U8" i="160"/>
  <c r="U7" i="160"/>
  <c r="U6" i="160"/>
  <c r="U10" i="160"/>
  <c r="U9" i="161"/>
  <c r="U8" i="161"/>
  <c r="U7" i="161"/>
  <c r="U6" i="161"/>
  <c r="U10" i="161"/>
  <c r="U9" i="159"/>
  <c r="U8" i="159"/>
  <c r="U7" i="159"/>
  <c r="U6" i="159"/>
  <c r="Z6" i="159"/>
  <c r="U9" i="187"/>
  <c r="U8" i="187"/>
  <c r="U7" i="187"/>
  <c r="Z7" i="187"/>
  <c r="U6" i="187"/>
  <c r="U10" i="187"/>
  <c r="U9" i="189"/>
  <c r="U8" i="189"/>
  <c r="U7" i="189"/>
  <c r="U6" i="189"/>
  <c r="U9" i="174"/>
  <c r="U8" i="174"/>
  <c r="U7" i="174"/>
  <c r="U6" i="174"/>
  <c r="U7" i="139"/>
  <c r="U8" i="139"/>
  <c r="U9" i="139"/>
  <c r="S9" i="175"/>
  <c r="S8" i="175"/>
  <c r="S7" i="175"/>
  <c r="AD7" i="175"/>
  <c r="S6" i="175"/>
  <c r="S10" i="175"/>
  <c r="S9" i="176"/>
  <c r="S8" i="176"/>
  <c r="S7" i="176"/>
  <c r="S10" i="176"/>
  <c r="S6" i="176"/>
  <c r="S9" i="177"/>
  <c r="S8" i="177"/>
  <c r="S7" i="177"/>
  <c r="S6" i="177"/>
  <c r="S9" i="178"/>
  <c r="AD9" i="178"/>
  <c r="S8" i="178"/>
  <c r="S7" i="178"/>
  <c r="S10" i="178"/>
  <c r="S6" i="178"/>
  <c r="S9" i="179"/>
  <c r="S8" i="179"/>
  <c r="S7" i="179"/>
  <c r="S6" i="179"/>
  <c r="S9" i="180"/>
  <c r="S8" i="180"/>
  <c r="S7" i="180"/>
  <c r="S6" i="180"/>
  <c r="S9" i="181"/>
  <c r="S8" i="181"/>
  <c r="S7" i="181"/>
  <c r="S6" i="181"/>
  <c r="S10" i="181"/>
  <c r="S9" i="182"/>
  <c r="S8" i="182"/>
  <c r="S7" i="182"/>
  <c r="S6" i="182"/>
  <c r="S9" i="183"/>
  <c r="S8" i="183"/>
  <c r="S7" i="183"/>
  <c r="AD7" i="183"/>
  <c r="S6" i="183"/>
  <c r="S9" i="184"/>
  <c r="S8" i="184"/>
  <c r="S7" i="184"/>
  <c r="S6" i="184"/>
  <c r="S9" i="185"/>
  <c r="S8" i="185"/>
  <c r="S7" i="185"/>
  <c r="S6" i="185"/>
  <c r="S10" i="185"/>
  <c r="S9" i="186"/>
  <c r="S8" i="186"/>
  <c r="S7" i="186"/>
  <c r="S6" i="186"/>
  <c r="S9" i="166"/>
  <c r="S8" i="166"/>
  <c r="S7" i="166"/>
  <c r="S6" i="166"/>
  <c r="S9" i="167"/>
  <c r="S8" i="167"/>
  <c r="S7" i="167"/>
  <c r="S10" i="167"/>
  <c r="S6" i="167"/>
  <c r="S9" i="168"/>
  <c r="S8" i="168"/>
  <c r="S7" i="168"/>
  <c r="S6" i="168"/>
  <c r="S9" i="169"/>
  <c r="S8" i="169"/>
  <c r="S7" i="169"/>
  <c r="S6" i="169"/>
  <c r="S10" i="169"/>
  <c r="S9" i="170"/>
  <c r="S8" i="170"/>
  <c r="S7" i="170"/>
  <c r="S6" i="170"/>
  <c r="S9" i="171"/>
  <c r="S8" i="171"/>
  <c r="S7" i="171"/>
  <c r="S6" i="171"/>
  <c r="S10" i="171"/>
  <c r="S9" i="172"/>
  <c r="S8" i="172"/>
  <c r="S7" i="172"/>
  <c r="S6" i="172"/>
  <c r="S9" i="173"/>
  <c r="S8" i="173"/>
  <c r="S7" i="173"/>
  <c r="S6" i="173"/>
  <c r="S10" i="173"/>
  <c r="S9" i="162"/>
  <c r="S8" i="162"/>
  <c r="S7" i="162"/>
  <c r="S6" i="162"/>
  <c r="S9" i="163"/>
  <c r="AD9" i="163"/>
  <c r="S8" i="163"/>
  <c r="S7" i="163"/>
  <c r="S6" i="163"/>
  <c r="S10" i="163"/>
  <c r="S9" i="164"/>
  <c r="S8" i="164"/>
  <c r="S7" i="164"/>
  <c r="S6" i="164"/>
  <c r="S9" i="165"/>
  <c r="S8" i="165"/>
  <c r="S7" i="165"/>
  <c r="S6" i="165"/>
  <c r="S9" i="160"/>
  <c r="S8" i="160"/>
  <c r="S7" i="160"/>
  <c r="S6" i="160"/>
  <c r="S10" i="160"/>
  <c r="S9" i="161"/>
  <c r="S8" i="161"/>
  <c r="S7" i="161"/>
  <c r="S6" i="161"/>
  <c r="S10" i="161"/>
  <c r="S9" i="159"/>
  <c r="S8" i="159"/>
  <c r="S7" i="159"/>
  <c r="S6" i="159"/>
  <c r="S9" i="187"/>
  <c r="S8" i="187"/>
  <c r="S7" i="187"/>
  <c r="S6" i="187"/>
  <c r="S9" i="189"/>
  <c r="S8" i="189"/>
  <c r="S7" i="189"/>
  <c r="S6" i="189"/>
  <c r="S9" i="174"/>
  <c r="S8" i="174"/>
  <c r="S7" i="174"/>
  <c r="S6" i="174"/>
  <c r="S7" i="139"/>
  <c r="S8" i="139"/>
  <c r="S9" i="139"/>
  <c r="G41" i="139"/>
  <c r="Y40" i="189"/>
  <c r="W40" i="189"/>
  <c r="U40" i="189"/>
  <c r="S40" i="189"/>
  <c r="Q40" i="189"/>
  <c r="O40" i="189"/>
  <c r="M40" i="189"/>
  <c r="K40" i="189"/>
  <c r="I40" i="189"/>
  <c r="G40" i="189"/>
  <c r="X16" i="189"/>
  <c r="V16" i="189"/>
  <c r="T16" i="189"/>
  <c r="R16" i="189"/>
  <c r="P16" i="189"/>
  <c r="N16" i="189"/>
  <c r="L16" i="189"/>
  <c r="J16" i="189"/>
  <c r="H16" i="189"/>
  <c r="F15" i="189"/>
  <c r="E15" i="189"/>
  <c r="E16" i="189"/>
  <c r="Y14" i="189"/>
  <c r="W14" i="189"/>
  <c r="U14" i="189"/>
  <c r="S14" i="189"/>
  <c r="Q14" i="189"/>
  <c r="O14" i="189"/>
  <c r="M14" i="189"/>
  <c r="K14" i="189"/>
  <c r="I14" i="189"/>
  <c r="Y13" i="189"/>
  <c r="W13" i="189"/>
  <c r="U13" i="189"/>
  <c r="S13" i="189"/>
  <c r="Q13" i="189"/>
  <c r="O13" i="189"/>
  <c r="M13" i="189"/>
  <c r="K13" i="189"/>
  <c r="I13" i="189"/>
  <c r="Z13" i="189"/>
  <c r="Y12" i="189"/>
  <c r="W12" i="189"/>
  <c r="U12" i="189"/>
  <c r="S12" i="189"/>
  <c r="Q12" i="189"/>
  <c r="O12" i="189"/>
  <c r="Z12" i="189"/>
  <c r="M12" i="189"/>
  <c r="K12" i="189"/>
  <c r="I12" i="189"/>
  <c r="Y11" i="189"/>
  <c r="AD11" i="189"/>
  <c r="W11" i="189"/>
  <c r="U11" i="189"/>
  <c r="S11" i="189"/>
  <c r="Q11" i="189"/>
  <c r="O11" i="189"/>
  <c r="M11" i="189"/>
  <c r="K11" i="189"/>
  <c r="F10" i="189"/>
  <c r="F16" i="189"/>
  <c r="E10" i="189"/>
  <c r="Y9" i="189"/>
  <c r="Q9" i="189"/>
  <c r="O9" i="189"/>
  <c r="M9" i="189"/>
  <c r="AD9" i="189"/>
  <c r="K9" i="189"/>
  <c r="AB9" i="189"/>
  <c r="G9" i="189"/>
  <c r="I9" i="189"/>
  <c r="Y8" i="189"/>
  <c r="Q8" i="189"/>
  <c r="AB8" i="189"/>
  <c r="O8" i="189"/>
  <c r="M8" i="189"/>
  <c r="AD8" i="189"/>
  <c r="K8" i="189"/>
  <c r="I8" i="189"/>
  <c r="Y7" i="189"/>
  <c r="Q7" i="189"/>
  <c r="O7" i="189"/>
  <c r="M7" i="189"/>
  <c r="AD7" i="189"/>
  <c r="K7" i="189"/>
  <c r="I7" i="189"/>
  <c r="I10" i="189"/>
  <c r="Y6" i="189"/>
  <c r="Y10" i="189"/>
  <c r="Q6" i="189"/>
  <c r="O6" i="189"/>
  <c r="M6" i="189"/>
  <c r="K6" i="189"/>
  <c r="I6" i="189"/>
  <c r="Y40" i="187"/>
  <c r="W40" i="187"/>
  <c r="U40" i="187"/>
  <c r="S40" i="187"/>
  <c r="Q40" i="187"/>
  <c r="O40" i="187"/>
  <c r="M40" i="187"/>
  <c r="K40" i="187"/>
  <c r="I40" i="187"/>
  <c r="G40" i="187"/>
  <c r="Y40" i="159"/>
  <c r="W40" i="159"/>
  <c r="U40" i="159"/>
  <c r="S40" i="159"/>
  <c r="Q40" i="159"/>
  <c r="O40" i="159"/>
  <c r="M40" i="159"/>
  <c r="K40" i="159"/>
  <c r="I40" i="159"/>
  <c r="G40" i="159"/>
  <c r="Y40" i="161"/>
  <c r="W40" i="161"/>
  <c r="U40" i="161"/>
  <c r="S40" i="161"/>
  <c r="Q40" i="161"/>
  <c r="O40" i="161"/>
  <c r="M40" i="161"/>
  <c r="K40" i="161"/>
  <c r="I40" i="161"/>
  <c r="G40" i="161"/>
  <c r="Y40" i="160"/>
  <c r="W40" i="160"/>
  <c r="U40" i="160"/>
  <c r="S40" i="160"/>
  <c r="Q40" i="160"/>
  <c r="O40" i="160"/>
  <c r="M40" i="160"/>
  <c r="K40" i="160"/>
  <c r="I40" i="160"/>
  <c r="G40" i="160"/>
  <c r="Y40" i="165"/>
  <c r="W40" i="165"/>
  <c r="U40" i="165"/>
  <c r="S40" i="165"/>
  <c r="Q40" i="165"/>
  <c r="O40" i="165"/>
  <c r="M40" i="165"/>
  <c r="K40" i="165"/>
  <c r="I40" i="165"/>
  <c r="G40" i="165"/>
  <c r="Y40" i="164"/>
  <c r="W40" i="164"/>
  <c r="U40" i="164"/>
  <c r="S40" i="164"/>
  <c r="Q40" i="164"/>
  <c r="O40" i="164"/>
  <c r="M40" i="164"/>
  <c r="K40" i="164"/>
  <c r="I40" i="164"/>
  <c r="G40" i="164"/>
  <c r="Y40" i="163"/>
  <c r="W40" i="163"/>
  <c r="U40" i="163"/>
  <c r="S40" i="163"/>
  <c r="Q40" i="163"/>
  <c r="O40" i="163"/>
  <c r="M40" i="163"/>
  <c r="K40" i="163"/>
  <c r="I40" i="163"/>
  <c r="G40" i="163"/>
  <c r="Y40" i="162"/>
  <c r="W40" i="162"/>
  <c r="U40" i="162"/>
  <c r="S40" i="162"/>
  <c r="Q40" i="162"/>
  <c r="O40" i="162"/>
  <c r="M40" i="162"/>
  <c r="K40" i="162"/>
  <c r="I40" i="162"/>
  <c r="G40" i="162"/>
  <c r="Y40" i="173"/>
  <c r="W40" i="173"/>
  <c r="U40" i="173"/>
  <c r="S40" i="173"/>
  <c r="Q40" i="173"/>
  <c r="O40" i="173"/>
  <c r="M40" i="173"/>
  <c r="K40" i="173"/>
  <c r="I40" i="173"/>
  <c r="G40" i="173"/>
  <c r="Y40" i="172"/>
  <c r="W40" i="172"/>
  <c r="U40" i="172"/>
  <c r="S40" i="172"/>
  <c r="Q40" i="172"/>
  <c r="O40" i="172"/>
  <c r="M40" i="172"/>
  <c r="K40" i="172"/>
  <c r="I40" i="172"/>
  <c r="G40" i="172"/>
  <c r="Y40" i="171"/>
  <c r="W40" i="171"/>
  <c r="U40" i="171"/>
  <c r="S40" i="171"/>
  <c r="Q40" i="171"/>
  <c r="O40" i="171"/>
  <c r="M40" i="171"/>
  <c r="K40" i="171"/>
  <c r="I40" i="171"/>
  <c r="G40" i="171"/>
  <c r="Y40" i="170"/>
  <c r="W40" i="170"/>
  <c r="U40" i="170"/>
  <c r="S40" i="170"/>
  <c r="Q40" i="170"/>
  <c r="O40" i="170"/>
  <c r="M40" i="170"/>
  <c r="K40" i="170"/>
  <c r="I40" i="170"/>
  <c r="G40" i="170"/>
  <c r="Y40" i="169"/>
  <c r="W40" i="169"/>
  <c r="U40" i="169"/>
  <c r="S40" i="169"/>
  <c r="Q40" i="169"/>
  <c r="O40" i="169"/>
  <c r="M40" i="169"/>
  <c r="K40" i="169"/>
  <c r="I40" i="169"/>
  <c r="G40" i="169"/>
  <c r="Y40" i="168"/>
  <c r="W40" i="168"/>
  <c r="U40" i="168"/>
  <c r="S40" i="168"/>
  <c r="Q40" i="168"/>
  <c r="O40" i="168"/>
  <c r="M40" i="168"/>
  <c r="K40" i="168"/>
  <c r="I40" i="168"/>
  <c r="G40" i="168"/>
  <c r="Y40" i="167"/>
  <c r="W40" i="167"/>
  <c r="U40" i="167"/>
  <c r="S40" i="167"/>
  <c r="Q40" i="167"/>
  <c r="O40" i="167"/>
  <c r="M40" i="167"/>
  <c r="K40" i="167"/>
  <c r="I40" i="167"/>
  <c r="G40" i="167"/>
  <c r="Y40" i="166"/>
  <c r="W40" i="166"/>
  <c r="U40" i="166"/>
  <c r="S40" i="166"/>
  <c r="Q40" i="166"/>
  <c r="O40" i="166"/>
  <c r="M40" i="166"/>
  <c r="K40" i="166"/>
  <c r="I40" i="166"/>
  <c r="G40" i="166"/>
  <c r="Y40" i="186"/>
  <c r="W40" i="186"/>
  <c r="U40" i="186"/>
  <c r="S40" i="186"/>
  <c r="Q40" i="186"/>
  <c r="O40" i="186"/>
  <c r="M40" i="186"/>
  <c r="K40" i="186"/>
  <c r="I40" i="186"/>
  <c r="G40" i="186"/>
  <c r="Y40" i="185"/>
  <c r="W40" i="185"/>
  <c r="U40" i="185"/>
  <c r="S40" i="185"/>
  <c r="Q40" i="185"/>
  <c r="O40" i="185"/>
  <c r="M40" i="185"/>
  <c r="K40" i="185"/>
  <c r="I40" i="185"/>
  <c r="G40" i="185"/>
  <c r="Y40" i="184"/>
  <c r="W40" i="184"/>
  <c r="U40" i="184"/>
  <c r="S40" i="184"/>
  <c r="Q40" i="184"/>
  <c r="O40" i="184"/>
  <c r="M40" i="184"/>
  <c r="K40" i="184"/>
  <c r="I40" i="184"/>
  <c r="G40" i="184"/>
  <c r="Y40" i="183"/>
  <c r="W40" i="183"/>
  <c r="U40" i="183"/>
  <c r="S40" i="183"/>
  <c r="Q40" i="183"/>
  <c r="O40" i="183"/>
  <c r="M40" i="183"/>
  <c r="K40" i="183"/>
  <c r="I40" i="183"/>
  <c r="G40" i="183"/>
  <c r="Y40" i="182"/>
  <c r="W40" i="182"/>
  <c r="U40" i="182"/>
  <c r="S40" i="182"/>
  <c r="Q40" i="182"/>
  <c r="O40" i="182"/>
  <c r="M40" i="182"/>
  <c r="K40" i="182"/>
  <c r="I40" i="182"/>
  <c r="G40" i="182"/>
  <c r="Y40" i="181"/>
  <c r="W40" i="181"/>
  <c r="U40" i="181"/>
  <c r="S40" i="181"/>
  <c r="Q40" i="181"/>
  <c r="O40" i="181"/>
  <c r="M40" i="181"/>
  <c r="K40" i="181"/>
  <c r="I40" i="181"/>
  <c r="G40" i="181"/>
  <c r="Y40" i="180"/>
  <c r="W40" i="180"/>
  <c r="U40" i="180"/>
  <c r="S40" i="180"/>
  <c r="Q40" i="180"/>
  <c r="O40" i="180"/>
  <c r="M40" i="180"/>
  <c r="K40" i="180"/>
  <c r="I40" i="180"/>
  <c r="G40" i="180"/>
  <c r="Y40" i="179"/>
  <c r="W40" i="179"/>
  <c r="U40" i="179"/>
  <c r="S40" i="179"/>
  <c r="Q40" i="179"/>
  <c r="O40" i="179"/>
  <c r="M40" i="179"/>
  <c r="K40" i="179"/>
  <c r="I40" i="179"/>
  <c r="G40" i="179"/>
  <c r="Y40" i="178"/>
  <c r="W40" i="178"/>
  <c r="U40" i="178"/>
  <c r="S40" i="178"/>
  <c r="Q40" i="178"/>
  <c r="O40" i="178"/>
  <c r="M40" i="178"/>
  <c r="K40" i="178"/>
  <c r="I40" i="178"/>
  <c r="G40" i="178"/>
  <c r="Y40" i="177"/>
  <c r="W40" i="177"/>
  <c r="U40" i="177"/>
  <c r="S40" i="177"/>
  <c r="Q40" i="177"/>
  <c r="O40" i="177"/>
  <c r="M40" i="177"/>
  <c r="K40" i="177"/>
  <c r="I40" i="177"/>
  <c r="G40" i="177"/>
  <c r="Y40" i="176"/>
  <c r="W40" i="176"/>
  <c r="U40" i="176"/>
  <c r="S40" i="176"/>
  <c r="Q40" i="176"/>
  <c r="O40" i="176"/>
  <c r="M40" i="176"/>
  <c r="K40" i="176"/>
  <c r="I40" i="176"/>
  <c r="G40" i="176"/>
  <c r="Y40" i="175"/>
  <c r="W40" i="175"/>
  <c r="U40" i="175"/>
  <c r="S40" i="175"/>
  <c r="Q40" i="175"/>
  <c r="O40" i="175"/>
  <c r="M40" i="175"/>
  <c r="K40" i="175"/>
  <c r="I40" i="175"/>
  <c r="G40" i="175"/>
  <c r="X16" i="187"/>
  <c r="V16" i="187"/>
  <c r="T16" i="187"/>
  <c r="R16" i="187"/>
  <c r="P16" i="187"/>
  <c r="N16" i="187"/>
  <c r="L16" i="187"/>
  <c r="J16" i="187"/>
  <c r="H16" i="187"/>
  <c r="F15" i="187"/>
  <c r="E15" i="187"/>
  <c r="Y14" i="187"/>
  <c r="W14" i="187"/>
  <c r="U14" i="187"/>
  <c r="S14" i="187"/>
  <c r="Q14" i="187"/>
  <c r="O14" i="187"/>
  <c r="M14" i="187"/>
  <c r="AD14" i="187"/>
  <c r="K14" i="187"/>
  <c r="K15" i="187"/>
  <c r="AB14" i="187"/>
  <c r="I14" i="187"/>
  <c r="Y13" i="187"/>
  <c r="W13" i="187"/>
  <c r="W15" i="187"/>
  <c r="W16" i="187"/>
  <c r="U13" i="187"/>
  <c r="S13" i="187"/>
  <c r="Q13" i="187"/>
  <c r="O13" i="187"/>
  <c r="M13" i="187"/>
  <c r="K13" i="187"/>
  <c r="I13" i="187"/>
  <c r="Z13" i="187"/>
  <c r="Y12" i="187"/>
  <c r="W12" i="187"/>
  <c r="U12" i="187"/>
  <c r="S12" i="187"/>
  <c r="Q12" i="187"/>
  <c r="AB12" i="187"/>
  <c r="O12" i="187"/>
  <c r="O15" i="187"/>
  <c r="M12" i="187"/>
  <c r="K12" i="187"/>
  <c r="I12" i="187"/>
  <c r="Y11" i="187"/>
  <c r="W11" i="187"/>
  <c r="U11" i="187"/>
  <c r="S11" i="187"/>
  <c r="Q11" i="187"/>
  <c r="O11" i="187"/>
  <c r="M11" i="187"/>
  <c r="AD11" i="187"/>
  <c r="K11" i="187"/>
  <c r="AB11" i="187"/>
  <c r="I11" i="187"/>
  <c r="Z11" i="187"/>
  <c r="F10" i="187"/>
  <c r="F16" i="187"/>
  <c r="E16" i="187"/>
  <c r="Y9" i="187"/>
  <c r="Q9" i="187"/>
  <c r="O9" i="187"/>
  <c r="M9" i="187"/>
  <c r="K9" i="187"/>
  <c r="I9" i="187"/>
  <c r="Y8" i="187"/>
  <c r="Q8" i="187"/>
  <c r="O8" i="187"/>
  <c r="O10" i="187"/>
  <c r="M8" i="187"/>
  <c r="AD8" i="187"/>
  <c r="K8" i="187"/>
  <c r="AB8" i="187"/>
  <c r="I8" i="187"/>
  <c r="Z8" i="187"/>
  <c r="G8" i="187"/>
  <c r="Y7" i="187"/>
  <c r="Q7" i="187"/>
  <c r="O7" i="187"/>
  <c r="M7" i="187"/>
  <c r="K7" i="187"/>
  <c r="I7" i="187"/>
  <c r="Y6" i="187"/>
  <c r="Q6" i="187"/>
  <c r="Q10" i="187"/>
  <c r="O6" i="187"/>
  <c r="M6" i="187"/>
  <c r="AD6" i="187"/>
  <c r="K6" i="187"/>
  <c r="I6" i="187"/>
  <c r="X16" i="186"/>
  <c r="V16" i="186"/>
  <c r="T16" i="186"/>
  <c r="R16" i="186"/>
  <c r="P16" i="186"/>
  <c r="N16" i="186"/>
  <c r="L16" i="186"/>
  <c r="J16" i="186"/>
  <c r="H16" i="186"/>
  <c r="F15" i="186"/>
  <c r="E15" i="186"/>
  <c r="Y14" i="186"/>
  <c r="Y15" i="186"/>
  <c r="W14" i="186"/>
  <c r="U14" i="186"/>
  <c r="S14" i="186"/>
  <c r="Q14" i="186"/>
  <c r="O14" i="186"/>
  <c r="M14" i="186"/>
  <c r="AD14" i="186"/>
  <c r="K14" i="186"/>
  <c r="AB14" i="186"/>
  <c r="I14" i="186"/>
  <c r="Y13" i="186"/>
  <c r="W13" i="186"/>
  <c r="U13" i="186"/>
  <c r="S13" i="186"/>
  <c r="Q13" i="186"/>
  <c r="O13" i="186"/>
  <c r="M13" i="186"/>
  <c r="AD13" i="186"/>
  <c r="K13" i="186"/>
  <c r="I13" i="186"/>
  <c r="Y12" i="186"/>
  <c r="W12" i="186"/>
  <c r="U12" i="186"/>
  <c r="U15" i="186"/>
  <c r="S12" i="186"/>
  <c r="Q12" i="186"/>
  <c r="O12" i="186"/>
  <c r="Z12" i="186"/>
  <c r="M12" i="186"/>
  <c r="AD12" i="186"/>
  <c r="K12" i="186"/>
  <c r="I12" i="186"/>
  <c r="Y11" i="186"/>
  <c r="W11" i="186"/>
  <c r="U11" i="186"/>
  <c r="S11" i="186"/>
  <c r="Q11" i="186"/>
  <c r="Q15" i="186"/>
  <c r="O11" i="186"/>
  <c r="M11" i="186"/>
  <c r="K11" i="186"/>
  <c r="AB11" i="186"/>
  <c r="I11" i="186"/>
  <c r="I15" i="186"/>
  <c r="F10" i="186"/>
  <c r="E10" i="186"/>
  <c r="E16" i="186"/>
  <c r="Y9" i="186"/>
  <c r="Q9" i="186"/>
  <c r="O9" i="186"/>
  <c r="M9" i="186"/>
  <c r="K9" i="186"/>
  <c r="I9" i="186"/>
  <c r="Y8" i="186"/>
  <c r="Q8" i="186"/>
  <c r="O8" i="186"/>
  <c r="O10" i="186"/>
  <c r="M8" i="186"/>
  <c r="K8" i="186"/>
  <c r="AB8" i="186"/>
  <c r="I8" i="186"/>
  <c r="Z8" i="186"/>
  <c r="Y7" i="186"/>
  <c r="Q7" i="186"/>
  <c r="O7" i="186"/>
  <c r="M7" i="186"/>
  <c r="AD7" i="186"/>
  <c r="K7" i="186"/>
  <c r="AB7" i="186"/>
  <c r="I7" i="186"/>
  <c r="Z7" i="186"/>
  <c r="G7" i="186"/>
  <c r="Y6" i="186"/>
  <c r="Q6" i="186"/>
  <c r="O6" i="186"/>
  <c r="M6" i="186"/>
  <c r="AD6" i="186"/>
  <c r="K6" i="186"/>
  <c r="AB6" i="186"/>
  <c r="I6" i="186"/>
  <c r="I10" i="186"/>
  <c r="X16" i="185"/>
  <c r="V16" i="185"/>
  <c r="T16" i="185"/>
  <c r="R16" i="185"/>
  <c r="P16" i="185"/>
  <c r="N16" i="185"/>
  <c r="L16" i="185"/>
  <c r="J16" i="185"/>
  <c r="H16" i="185"/>
  <c r="F15" i="185"/>
  <c r="F16" i="185"/>
  <c r="E15" i="185"/>
  <c r="E16" i="185"/>
  <c r="Y14" i="185"/>
  <c r="AD14" i="185"/>
  <c r="W14" i="185"/>
  <c r="U14" i="185"/>
  <c r="Z14" i="185"/>
  <c r="S14" i="185"/>
  <c r="Q14" i="185"/>
  <c r="O14" i="185"/>
  <c r="M14" i="185"/>
  <c r="K14" i="185"/>
  <c r="I14" i="185"/>
  <c r="Y13" i="185"/>
  <c r="W13" i="185"/>
  <c r="U13" i="185"/>
  <c r="S13" i="185"/>
  <c r="Q13" i="185"/>
  <c r="O13" i="185"/>
  <c r="M13" i="185"/>
  <c r="K13" i="185"/>
  <c r="I13" i="185"/>
  <c r="Y12" i="185"/>
  <c r="W12" i="185"/>
  <c r="W15" i="185"/>
  <c r="W16" i="185"/>
  <c r="U12" i="185"/>
  <c r="Z12" i="185"/>
  <c r="S12" i="185"/>
  <c r="Q12" i="185"/>
  <c r="O12" i="185"/>
  <c r="M12" i="185"/>
  <c r="AD12" i="185"/>
  <c r="K12" i="185"/>
  <c r="I12" i="185"/>
  <c r="Y11" i="185"/>
  <c r="W11" i="185"/>
  <c r="U11" i="185"/>
  <c r="S11" i="185"/>
  <c r="S15" i="185"/>
  <c r="Q11" i="185"/>
  <c r="O11" i="185"/>
  <c r="M11" i="185"/>
  <c r="AD11" i="185"/>
  <c r="K11" i="185"/>
  <c r="I11" i="185"/>
  <c r="F10" i="185"/>
  <c r="E10" i="185"/>
  <c r="Y9" i="185"/>
  <c r="Q9" i="185"/>
  <c r="O9" i="185"/>
  <c r="M9" i="185"/>
  <c r="AD9" i="185"/>
  <c r="K9" i="185"/>
  <c r="AB9" i="185"/>
  <c r="G9" i="185"/>
  <c r="I9" i="185"/>
  <c r="Y8" i="185"/>
  <c r="Q8" i="185"/>
  <c r="O8" i="185"/>
  <c r="M8" i="185"/>
  <c r="K8" i="185"/>
  <c r="I8" i="185"/>
  <c r="Y7" i="185"/>
  <c r="Q7" i="185"/>
  <c r="O7" i="185"/>
  <c r="M7" i="185"/>
  <c r="AD7" i="185"/>
  <c r="K7" i="185"/>
  <c r="I7" i="185"/>
  <c r="Z7" i="185"/>
  <c r="Y6" i="185"/>
  <c r="Q6" i="185"/>
  <c r="O6" i="185"/>
  <c r="M6" i="185"/>
  <c r="K6" i="185"/>
  <c r="I6" i="185"/>
  <c r="X16" i="184"/>
  <c r="V16" i="184"/>
  <c r="T16" i="184"/>
  <c r="R16" i="184"/>
  <c r="P16" i="184"/>
  <c r="N16" i="184"/>
  <c r="L16" i="184"/>
  <c r="J16" i="184"/>
  <c r="H16" i="184"/>
  <c r="F15" i="184"/>
  <c r="F16" i="184"/>
  <c r="E15" i="184"/>
  <c r="Y14" i="184"/>
  <c r="W14" i="184"/>
  <c r="AB14" i="184"/>
  <c r="W15" i="184"/>
  <c r="U14" i="184"/>
  <c r="S14" i="184"/>
  <c r="Q14" i="184"/>
  <c r="O14" i="184"/>
  <c r="M14" i="184"/>
  <c r="K14" i="184"/>
  <c r="I14" i="184"/>
  <c r="Y13" i="184"/>
  <c r="W13" i="184"/>
  <c r="U13" i="184"/>
  <c r="S13" i="184"/>
  <c r="Q13" i="184"/>
  <c r="O13" i="184"/>
  <c r="M13" i="184"/>
  <c r="K13" i="184"/>
  <c r="I13" i="184"/>
  <c r="Y12" i="184"/>
  <c r="W12" i="184"/>
  <c r="U12" i="184"/>
  <c r="S12" i="184"/>
  <c r="Q12" i="184"/>
  <c r="O12" i="184"/>
  <c r="M12" i="184"/>
  <c r="K12" i="184"/>
  <c r="I12" i="184"/>
  <c r="Z12" i="184"/>
  <c r="Y11" i="184"/>
  <c r="W11" i="184"/>
  <c r="U11" i="184"/>
  <c r="U15" i="184"/>
  <c r="S11" i="184"/>
  <c r="Q11" i="184"/>
  <c r="Q15" i="184"/>
  <c r="O11" i="184"/>
  <c r="M11" i="184"/>
  <c r="AD11" i="184"/>
  <c r="K11" i="184"/>
  <c r="I11" i="184"/>
  <c r="Z11" i="184"/>
  <c r="F10" i="184"/>
  <c r="E10" i="184"/>
  <c r="E16" i="184"/>
  <c r="Y9" i="184"/>
  <c r="Q9" i="184"/>
  <c r="O9" i="184"/>
  <c r="M9" i="184"/>
  <c r="K9" i="184"/>
  <c r="I9" i="184"/>
  <c r="Y8" i="184"/>
  <c r="Q8" i="184"/>
  <c r="Q10" i="184"/>
  <c r="O8" i="184"/>
  <c r="O10" i="184"/>
  <c r="M8" i="184"/>
  <c r="AD8" i="184"/>
  <c r="K8" i="184"/>
  <c r="AB8" i="184"/>
  <c r="I8" i="184"/>
  <c r="Y7" i="184"/>
  <c r="Q7" i="184"/>
  <c r="O7" i="184"/>
  <c r="M7" i="184"/>
  <c r="K7" i="184"/>
  <c r="AB7" i="184"/>
  <c r="I7" i="184"/>
  <c r="Y6" i="184"/>
  <c r="Q6" i="184"/>
  <c r="O6" i="184"/>
  <c r="M6" i="184"/>
  <c r="K6" i="184"/>
  <c r="I6" i="184"/>
  <c r="Z6" i="184"/>
  <c r="X16" i="183"/>
  <c r="V16" i="183"/>
  <c r="T16" i="183"/>
  <c r="R16" i="183"/>
  <c r="P16" i="183"/>
  <c r="N16" i="183"/>
  <c r="L16" i="183"/>
  <c r="J16" i="183"/>
  <c r="H16" i="183"/>
  <c r="F15" i="183"/>
  <c r="E15" i="183"/>
  <c r="E16" i="183"/>
  <c r="Y14" i="183"/>
  <c r="W14" i="183"/>
  <c r="U14" i="183"/>
  <c r="S14" i="183"/>
  <c r="Q14" i="183"/>
  <c r="Q15" i="183"/>
  <c r="Q16" i="183"/>
  <c r="O14" i="183"/>
  <c r="M14" i="183"/>
  <c r="K14" i="183"/>
  <c r="I14" i="183"/>
  <c r="Y13" i="183"/>
  <c r="W13" i="183"/>
  <c r="U13" i="183"/>
  <c r="S13" i="183"/>
  <c r="Q13" i="183"/>
  <c r="O13" i="183"/>
  <c r="M13" i="183"/>
  <c r="AD13" i="183"/>
  <c r="K13" i="183"/>
  <c r="I13" i="183"/>
  <c r="Z13" i="183"/>
  <c r="Y12" i="183"/>
  <c r="W12" i="183"/>
  <c r="U12" i="183"/>
  <c r="S12" i="183"/>
  <c r="Q12" i="183"/>
  <c r="O12" i="183"/>
  <c r="M12" i="183"/>
  <c r="K12" i="183"/>
  <c r="I12" i="183"/>
  <c r="Y11" i="183"/>
  <c r="W11" i="183"/>
  <c r="W15" i="183"/>
  <c r="U11" i="183"/>
  <c r="S11" i="183"/>
  <c r="Q11" i="183"/>
  <c r="O11" i="183"/>
  <c r="M11" i="183"/>
  <c r="K11" i="183"/>
  <c r="I11" i="183"/>
  <c r="I15" i="183"/>
  <c r="I16" i="183"/>
  <c r="F10" i="183"/>
  <c r="F16" i="183"/>
  <c r="E10" i="183"/>
  <c r="Y9" i="183"/>
  <c r="Q9" i="183"/>
  <c r="O9" i="183"/>
  <c r="Z9" i="183"/>
  <c r="G9" i="183"/>
  <c r="M9" i="183"/>
  <c r="K9" i="183"/>
  <c r="AB9" i="183"/>
  <c r="I9" i="183"/>
  <c r="Y8" i="183"/>
  <c r="Q8" i="183"/>
  <c r="O8" i="183"/>
  <c r="O10" i="183"/>
  <c r="M8" i="183"/>
  <c r="K8" i="183"/>
  <c r="AB8" i="183"/>
  <c r="I8" i="183"/>
  <c r="Y7" i="183"/>
  <c r="Q7" i="183"/>
  <c r="O7" i="183"/>
  <c r="M7" i="183"/>
  <c r="K7" i="183"/>
  <c r="I7" i="183"/>
  <c r="Y6" i="183"/>
  <c r="Q6" i="183"/>
  <c r="Q10" i="183"/>
  <c r="O6" i="183"/>
  <c r="M6" i="183"/>
  <c r="K6" i="183"/>
  <c r="I6" i="183"/>
  <c r="I10" i="183"/>
  <c r="X16" i="182"/>
  <c r="V16" i="182"/>
  <c r="T16" i="182"/>
  <c r="R16" i="182"/>
  <c r="P16" i="182"/>
  <c r="N16" i="182"/>
  <c r="L16" i="182"/>
  <c r="J16" i="182"/>
  <c r="H16" i="182"/>
  <c r="F15" i="182"/>
  <c r="E15" i="182"/>
  <c r="E16" i="182"/>
  <c r="Y14" i="182"/>
  <c r="W14" i="182"/>
  <c r="U14" i="182"/>
  <c r="S14" i="182"/>
  <c r="Q14" i="182"/>
  <c r="O14" i="182"/>
  <c r="Z14" i="182"/>
  <c r="M14" i="182"/>
  <c r="AD14" i="182"/>
  <c r="G14" i="182"/>
  <c r="K14" i="182"/>
  <c r="I14" i="182"/>
  <c r="Y13" i="182"/>
  <c r="W13" i="182"/>
  <c r="U13" i="182"/>
  <c r="S13" i="182"/>
  <c r="Q13" i="182"/>
  <c r="O13" i="182"/>
  <c r="M13" i="182"/>
  <c r="K13" i="182"/>
  <c r="I13" i="182"/>
  <c r="Z13" i="182"/>
  <c r="G13" i="182"/>
  <c r="Y12" i="182"/>
  <c r="W12" i="182"/>
  <c r="U12" i="182"/>
  <c r="S12" i="182"/>
  <c r="Q12" i="182"/>
  <c r="O12" i="182"/>
  <c r="M12" i="182"/>
  <c r="K12" i="182"/>
  <c r="I12" i="182"/>
  <c r="Y11" i="182"/>
  <c r="W11" i="182"/>
  <c r="U11" i="182"/>
  <c r="S11" i="182"/>
  <c r="Q11" i="182"/>
  <c r="O11" i="182"/>
  <c r="M11" i="182"/>
  <c r="K11" i="182"/>
  <c r="K15" i="182"/>
  <c r="I11" i="182"/>
  <c r="F10" i="182"/>
  <c r="E10" i="182"/>
  <c r="Y9" i="182"/>
  <c r="Q9" i="182"/>
  <c r="O9" i="182"/>
  <c r="M9" i="182"/>
  <c r="K9" i="182"/>
  <c r="AB9" i="182"/>
  <c r="I9" i="182"/>
  <c r="Y8" i="182"/>
  <c r="Q8" i="182"/>
  <c r="O8" i="182"/>
  <c r="O10" i="182"/>
  <c r="M8" i="182"/>
  <c r="AD8" i="182"/>
  <c r="K8" i="182"/>
  <c r="I8" i="182"/>
  <c r="Y7" i="182"/>
  <c r="Y10" i="182"/>
  <c r="Q7" i="182"/>
  <c r="O7" i="182"/>
  <c r="M7" i="182"/>
  <c r="K7" i="182"/>
  <c r="I7" i="182"/>
  <c r="Z7" i="182"/>
  <c r="Y6" i="182"/>
  <c r="Q6" i="182"/>
  <c r="O6" i="182"/>
  <c r="M6" i="182"/>
  <c r="K6" i="182"/>
  <c r="I6" i="182"/>
  <c r="X16" i="181"/>
  <c r="V16" i="181"/>
  <c r="T16" i="181"/>
  <c r="R16" i="181"/>
  <c r="P16" i="181"/>
  <c r="N16" i="181"/>
  <c r="L16" i="181"/>
  <c r="J16" i="181"/>
  <c r="H16" i="181"/>
  <c r="F15" i="181"/>
  <c r="E15" i="181"/>
  <c r="E16" i="181"/>
  <c r="Y14" i="181"/>
  <c r="W14" i="181"/>
  <c r="U14" i="181"/>
  <c r="S14" i="181"/>
  <c r="Q14" i="181"/>
  <c r="O14" i="181"/>
  <c r="M14" i="181"/>
  <c r="AD14" i="181"/>
  <c r="K14" i="181"/>
  <c r="AB14" i="181"/>
  <c r="I14" i="181"/>
  <c r="Y13" i="181"/>
  <c r="W13" i="181"/>
  <c r="U13" i="181"/>
  <c r="S13" i="181"/>
  <c r="Q13" i="181"/>
  <c r="O13" i="181"/>
  <c r="M13" i="181"/>
  <c r="AD13" i="181"/>
  <c r="K13" i="181"/>
  <c r="I13" i="181"/>
  <c r="Z13" i="181"/>
  <c r="Y12" i="181"/>
  <c r="W12" i="181"/>
  <c r="U12" i="181"/>
  <c r="S12" i="181"/>
  <c r="Q12" i="181"/>
  <c r="O12" i="181"/>
  <c r="Z12" i="181"/>
  <c r="M12" i="181"/>
  <c r="K12" i="181"/>
  <c r="I12" i="181"/>
  <c r="Y11" i="181"/>
  <c r="W11" i="181"/>
  <c r="U11" i="181"/>
  <c r="S11" i="181"/>
  <c r="Q11" i="181"/>
  <c r="Q15" i="181"/>
  <c r="O11" i="181"/>
  <c r="M11" i="181"/>
  <c r="K11" i="181"/>
  <c r="I11" i="181"/>
  <c r="Z11" i="181"/>
  <c r="F10" i="181"/>
  <c r="E10" i="181"/>
  <c r="Y9" i="181"/>
  <c r="AD9" i="181"/>
  <c r="Q9" i="181"/>
  <c r="O9" i="181"/>
  <c r="M9" i="181"/>
  <c r="K9" i="181"/>
  <c r="I9" i="181"/>
  <c r="Z9" i="181"/>
  <c r="AB8" i="181"/>
  <c r="Y8" i="181"/>
  <c r="Q8" i="181"/>
  <c r="O8" i="181"/>
  <c r="M8" i="181"/>
  <c r="AD8" i="181"/>
  <c r="K8" i="181"/>
  <c r="I8" i="181"/>
  <c r="Y7" i="181"/>
  <c r="Q7" i="181"/>
  <c r="AB7" i="181"/>
  <c r="O7" i="181"/>
  <c r="Z7" i="181"/>
  <c r="M7" i="181"/>
  <c r="AD7" i="181"/>
  <c r="K7" i="181"/>
  <c r="I7" i="181"/>
  <c r="Y6" i="181"/>
  <c r="Q6" i="181"/>
  <c r="O6" i="181"/>
  <c r="M6" i="181"/>
  <c r="K6" i="181"/>
  <c r="K10" i="181"/>
  <c r="I6" i="181"/>
  <c r="X16" i="180"/>
  <c r="V16" i="180"/>
  <c r="T16" i="180"/>
  <c r="R16" i="180"/>
  <c r="P16" i="180"/>
  <c r="N16" i="180"/>
  <c r="L16" i="180"/>
  <c r="J16" i="180"/>
  <c r="H16" i="180"/>
  <c r="F15" i="180"/>
  <c r="E15" i="180"/>
  <c r="E16" i="180"/>
  <c r="Y14" i="180"/>
  <c r="W14" i="180"/>
  <c r="U14" i="180"/>
  <c r="S14" i="180"/>
  <c r="Q14" i="180"/>
  <c r="O14" i="180"/>
  <c r="O15" i="180"/>
  <c r="O16" i="180"/>
  <c r="M14" i="180"/>
  <c r="AD14" i="180"/>
  <c r="K14" i="180"/>
  <c r="AB14" i="180"/>
  <c r="I14" i="180"/>
  <c r="Y13" i="180"/>
  <c r="W13" i="180"/>
  <c r="U13" i="180"/>
  <c r="S13" i="180"/>
  <c r="Q13" i="180"/>
  <c r="O13" i="180"/>
  <c r="M13" i="180"/>
  <c r="K13" i="180"/>
  <c r="AB13" i="180"/>
  <c r="I13" i="180"/>
  <c r="Y12" i="180"/>
  <c r="Y15" i="180"/>
  <c r="W12" i="180"/>
  <c r="U12" i="180"/>
  <c r="U15" i="180"/>
  <c r="S12" i="180"/>
  <c r="Q12" i="180"/>
  <c r="AB12" i="180"/>
  <c r="O12" i="180"/>
  <c r="M12" i="180"/>
  <c r="AD12" i="180"/>
  <c r="K12" i="180"/>
  <c r="I12" i="180"/>
  <c r="Z12" i="180"/>
  <c r="Y11" i="180"/>
  <c r="W11" i="180"/>
  <c r="U11" i="180"/>
  <c r="S11" i="180"/>
  <c r="S15" i="180"/>
  <c r="Q11" i="180"/>
  <c r="O11" i="180"/>
  <c r="M11" i="180"/>
  <c r="K11" i="180"/>
  <c r="I11" i="180"/>
  <c r="F10" i="180"/>
  <c r="E10" i="180"/>
  <c r="Y9" i="180"/>
  <c r="Q9" i="180"/>
  <c r="O9" i="180"/>
  <c r="M9" i="180"/>
  <c r="AD9" i="180"/>
  <c r="K9" i="180"/>
  <c r="I9" i="180"/>
  <c r="Z9" i="180"/>
  <c r="Y8" i="180"/>
  <c r="Q8" i="180"/>
  <c r="O8" i="180"/>
  <c r="M8" i="180"/>
  <c r="K8" i="180"/>
  <c r="AB8" i="180"/>
  <c r="I8" i="180"/>
  <c r="Y7" i="180"/>
  <c r="AD7" i="180"/>
  <c r="G7" i="180"/>
  <c r="Q7" i="180"/>
  <c r="O7" i="180"/>
  <c r="M7" i="180"/>
  <c r="K7" i="180"/>
  <c r="I7" i="180"/>
  <c r="Z7" i="180"/>
  <c r="Y6" i="180"/>
  <c r="Q6" i="180"/>
  <c r="Q10" i="180"/>
  <c r="O6" i="180"/>
  <c r="O10" i="180"/>
  <c r="M6" i="180"/>
  <c r="K6" i="180"/>
  <c r="AB6" i="180"/>
  <c r="I6" i="180"/>
  <c r="X16" i="179"/>
  <c r="V16" i="179"/>
  <c r="T16" i="179"/>
  <c r="R16" i="179"/>
  <c r="P16" i="179"/>
  <c r="N16" i="179"/>
  <c r="L16" i="179"/>
  <c r="J16" i="179"/>
  <c r="H16" i="179"/>
  <c r="F15" i="179"/>
  <c r="F16" i="179"/>
  <c r="E15" i="179"/>
  <c r="E16" i="179"/>
  <c r="Y14" i="179"/>
  <c r="W14" i="179"/>
  <c r="U14" i="179"/>
  <c r="S14" i="179"/>
  <c r="Q14" i="179"/>
  <c r="O14" i="179"/>
  <c r="Z14" i="179"/>
  <c r="M14" i="179"/>
  <c r="K14" i="179"/>
  <c r="AB14" i="179"/>
  <c r="I14" i="179"/>
  <c r="Y13" i="179"/>
  <c r="W13" i="179"/>
  <c r="U13" i="179"/>
  <c r="S13" i="179"/>
  <c r="Q13" i="179"/>
  <c r="O13" i="179"/>
  <c r="M13" i="179"/>
  <c r="K13" i="179"/>
  <c r="AB13" i="179"/>
  <c r="I13" i="179"/>
  <c r="Z13" i="179"/>
  <c r="Y12" i="179"/>
  <c r="Y15" i="179"/>
  <c r="Y16" i="179"/>
  <c r="W12" i="179"/>
  <c r="W15" i="179"/>
  <c r="U12" i="179"/>
  <c r="U15" i="179"/>
  <c r="S12" i="179"/>
  <c r="AD12" i="179"/>
  <c r="Q12" i="179"/>
  <c r="O12" i="179"/>
  <c r="Z12" i="179"/>
  <c r="M12" i="179"/>
  <c r="K12" i="179"/>
  <c r="I12" i="179"/>
  <c r="Y11" i="179"/>
  <c r="W11" i="179"/>
  <c r="U11" i="179"/>
  <c r="S11" i="179"/>
  <c r="Q11" i="179"/>
  <c r="O11" i="179"/>
  <c r="O15" i="179"/>
  <c r="M11" i="179"/>
  <c r="K11" i="179"/>
  <c r="I11" i="179"/>
  <c r="F10" i="179"/>
  <c r="E10" i="179"/>
  <c r="Y9" i="179"/>
  <c r="Q9" i="179"/>
  <c r="O9" i="179"/>
  <c r="M9" i="179"/>
  <c r="K9" i="179"/>
  <c r="AB9" i="179"/>
  <c r="I9" i="179"/>
  <c r="Y8" i="179"/>
  <c r="Y10" i="179"/>
  <c r="Q8" i="179"/>
  <c r="Q10" i="179"/>
  <c r="O8" i="179"/>
  <c r="M8" i="179"/>
  <c r="AD8" i="179"/>
  <c r="K8" i="179"/>
  <c r="I8" i="179"/>
  <c r="Y7" i="179"/>
  <c r="Q7" i="179"/>
  <c r="O7" i="179"/>
  <c r="M7" i="179"/>
  <c r="AD7" i="179"/>
  <c r="K7" i="179"/>
  <c r="I7" i="179"/>
  <c r="Z7" i="179"/>
  <c r="Y6" i="179"/>
  <c r="Q6" i="179"/>
  <c r="O6" i="179"/>
  <c r="M6" i="179"/>
  <c r="K6" i="179"/>
  <c r="I6" i="179"/>
  <c r="Z6" i="179"/>
  <c r="X16" i="178"/>
  <c r="V16" i="178"/>
  <c r="T16" i="178"/>
  <c r="R16" i="178"/>
  <c r="P16" i="178"/>
  <c r="N16" i="178"/>
  <c r="L16" i="178"/>
  <c r="J16" i="178"/>
  <c r="H16" i="178"/>
  <c r="F15" i="178"/>
  <c r="F16" i="178"/>
  <c r="E15" i="178"/>
  <c r="Y14" i="178"/>
  <c r="W14" i="178"/>
  <c r="AB14" i="178"/>
  <c r="U14" i="178"/>
  <c r="U15" i="178"/>
  <c r="S14" i="178"/>
  <c r="Q14" i="178"/>
  <c r="O14" i="178"/>
  <c r="Z14" i="178"/>
  <c r="M14" i="178"/>
  <c r="K14" i="178"/>
  <c r="I14" i="178"/>
  <c r="Y13" i="178"/>
  <c r="W13" i="178"/>
  <c r="U13" i="178"/>
  <c r="S13" i="178"/>
  <c r="Q13" i="178"/>
  <c r="O13" i="178"/>
  <c r="M13" i="178"/>
  <c r="K13" i="178"/>
  <c r="I13" i="178"/>
  <c r="Y12" i="178"/>
  <c r="W12" i="178"/>
  <c r="AB12" i="178"/>
  <c r="U12" i="178"/>
  <c r="S12" i="178"/>
  <c r="AD12" i="178"/>
  <c r="Q12" i="178"/>
  <c r="O12" i="178"/>
  <c r="M12" i="178"/>
  <c r="K12" i="178"/>
  <c r="I12" i="178"/>
  <c r="Y11" i="178"/>
  <c r="Y15" i="178"/>
  <c r="W11" i="178"/>
  <c r="U11" i="178"/>
  <c r="S11" i="178"/>
  <c r="S15" i="178"/>
  <c r="S16" i="178"/>
  <c r="Q11" i="178"/>
  <c r="Q15" i="178"/>
  <c r="Q16" i="178"/>
  <c r="AB11" i="178"/>
  <c r="O11" i="178"/>
  <c r="M11" i="178"/>
  <c r="K11" i="178"/>
  <c r="I11" i="178"/>
  <c r="I15" i="178"/>
  <c r="F10" i="178"/>
  <c r="E10" i="178"/>
  <c r="E16" i="178"/>
  <c r="Y9" i="178"/>
  <c r="Q9" i="178"/>
  <c r="O9" i="178"/>
  <c r="M9" i="178"/>
  <c r="K9" i="178"/>
  <c r="AB9" i="178"/>
  <c r="I9" i="178"/>
  <c r="Z9" i="178"/>
  <c r="G9" i="178"/>
  <c r="Y8" i="178"/>
  <c r="Q8" i="178"/>
  <c r="O8" i="178"/>
  <c r="M8" i="178"/>
  <c r="K8" i="178"/>
  <c r="I8" i="178"/>
  <c r="Y7" i="178"/>
  <c r="Q7" i="178"/>
  <c r="O7" i="178"/>
  <c r="M7" i="178"/>
  <c r="K7" i="178"/>
  <c r="I7" i="178"/>
  <c r="Z7" i="178"/>
  <c r="Y6" i="178"/>
  <c r="Y10" i="178"/>
  <c r="Q6" i="178"/>
  <c r="Q10" i="178"/>
  <c r="O6" i="178"/>
  <c r="Z6" i="178"/>
  <c r="M6" i="178"/>
  <c r="AD6" i="178"/>
  <c r="K6" i="178"/>
  <c r="I6" i="178"/>
  <c r="X16" i="177"/>
  <c r="V16" i="177"/>
  <c r="T16" i="177"/>
  <c r="R16" i="177"/>
  <c r="P16" i="177"/>
  <c r="N16" i="177"/>
  <c r="L16" i="177"/>
  <c r="J16" i="177"/>
  <c r="H16" i="177"/>
  <c r="F15" i="177"/>
  <c r="E15" i="177"/>
  <c r="E16" i="177"/>
  <c r="Y14" i="177"/>
  <c r="W14" i="177"/>
  <c r="U14" i="177"/>
  <c r="S14" i="177"/>
  <c r="Q14" i="177"/>
  <c r="O14" i="177"/>
  <c r="M14" i="177"/>
  <c r="AD14" i="177"/>
  <c r="K14" i="177"/>
  <c r="AB14" i="177"/>
  <c r="I14" i="177"/>
  <c r="Y13" i="177"/>
  <c r="W13" i="177"/>
  <c r="U13" i="177"/>
  <c r="S13" i="177"/>
  <c r="Q13" i="177"/>
  <c r="O13" i="177"/>
  <c r="M13" i="177"/>
  <c r="AD13" i="177"/>
  <c r="K13" i="177"/>
  <c r="I13" i="177"/>
  <c r="I15" i="177"/>
  <c r="Y12" i="177"/>
  <c r="W12" i="177"/>
  <c r="U12" i="177"/>
  <c r="S12" i="177"/>
  <c r="Q12" i="177"/>
  <c r="O12" i="177"/>
  <c r="M12" i="177"/>
  <c r="AD12" i="177"/>
  <c r="AD15" i="177"/>
  <c r="AD16" i="177"/>
  <c r="K12" i="177"/>
  <c r="AB12" i="177"/>
  <c r="I12" i="177"/>
  <c r="Z12" i="177"/>
  <c r="Y11" i="177"/>
  <c r="W11" i="177"/>
  <c r="U11" i="177"/>
  <c r="S11" i="177"/>
  <c r="Q11" i="177"/>
  <c r="O11" i="177"/>
  <c r="Z11" i="177"/>
  <c r="M11" i="177"/>
  <c r="K11" i="177"/>
  <c r="K15" i="177"/>
  <c r="I11" i="177"/>
  <c r="F10" i="177"/>
  <c r="F16" i="177"/>
  <c r="E10" i="177"/>
  <c r="Y9" i="177"/>
  <c r="Q9" i="177"/>
  <c r="AB9" i="177"/>
  <c r="G9" i="177"/>
  <c r="O9" i="177"/>
  <c r="M9" i="177"/>
  <c r="AD9" i="177"/>
  <c r="K9" i="177"/>
  <c r="I9" i="177"/>
  <c r="Y8" i="177"/>
  <c r="AD8" i="177"/>
  <c r="Q8" i="177"/>
  <c r="O8" i="177"/>
  <c r="M8" i="177"/>
  <c r="K8" i="177"/>
  <c r="I8" i="177"/>
  <c r="Y7" i="177"/>
  <c r="Q7" i="177"/>
  <c r="O7" i="177"/>
  <c r="M7" i="177"/>
  <c r="K7" i="177"/>
  <c r="I7" i="177"/>
  <c r="Y6" i="177"/>
  <c r="Q6" i="177"/>
  <c r="O6" i="177"/>
  <c r="M6" i="177"/>
  <c r="K6" i="177"/>
  <c r="AB6" i="177"/>
  <c r="I6" i="177"/>
  <c r="X16" i="176"/>
  <c r="V16" i="176"/>
  <c r="T16" i="176"/>
  <c r="R16" i="176"/>
  <c r="P16" i="176"/>
  <c r="N16" i="176"/>
  <c r="L16" i="176"/>
  <c r="J16" i="176"/>
  <c r="H16" i="176"/>
  <c r="F15" i="176"/>
  <c r="E15" i="176"/>
  <c r="E16" i="176"/>
  <c r="Y14" i="176"/>
  <c r="W14" i="176"/>
  <c r="U14" i="176"/>
  <c r="S14" i="176"/>
  <c r="Q14" i="176"/>
  <c r="O14" i="176"/>
  <c r="M14" i="176"/>
  <c r="K14" i="176"/>
  <c r="I14" i="176"/>
  <c r="Z14" i="176"/>
  <c r="Y13" i="176"/>
  <c r="W13" i="176"/>
  <c r="U13" i="176"/>
  <c r="U15" i="176"/>
  <c r="S13" i="176"/>
  <c r="Q13" i="176"/>
  <c r="O13" i="176"/>
  <c r="M13" i="176"/>
  <c r="AD13" i="176"/>
  <c r="K13" i="176"/>
  <c r="AB13" i="176"/>
  <c r="I13" i="176"/>
  <c r="Y12" i="176"/>
  <c r="W12" i="176"/>
  <c r="U12" i="176"/>
  <c r="S12" i="176"/>
  <c r="Q12" i="176"/>
  <c r="O12" i="176"/>
  <c r="M12" i="176"/>
  <c r="K12" i="176"/>
  <c r="I12" i="176"/>
  <c r="Y11" i="176"/>
  <c r="W11" i="176"/>
  <c r="AB11" i="176"/>
  <c r="U11" i="176"/>
  <c r="S11" i="176"/>
  <c r="Q11" i="176"/>
  <c r="O11" i="176"/>
  <c r="M11" i="176"/>
  <c r="K11" i="176"/>
  <c r="I11" i="176"/>
  <c r="F10" i="176"/>
  <c r="F16" i="176"/>
  <c r="E10" i="176"/>
  <c r="Y9" i="176"/>
  <c r="Q9" i="176"/>
  <c r="O9" i="176"/>
  <c r="O10" i="176"/>
  <c r="M9" i="176"/>
  <c r="AD9" i="176"/>
  <c r="K9" i="176"/>
  <c r="I9" i="176"/>
  <c r="Y8" i="176"/>
  <c r="Q8" i="176"/>
  <c r="O8" i="176"/>
  <c r="M8" i="176"/>
  <c r="AD8" i="176"/>
  <c r="K8" i="176"/>
  <c r="AB8" i="176"/>
  <c r="I8" i="176"/>
  <c r="Y7" i="176"/>
  <c r="Q7" i="176"/>
  <c r="O7" i="176"/>
  <c r="M7" i="176"/>
  <c r="K7" i="176"/>
  <c r="AB7" i="176"/>
  <c r="I7" i="176"/>
  <c r="Y6" i="176"/>
  <c r="W10" i="176"/>
  <c r="Q6" i="176"/>
  <c r="O6" i="176"/>
  <c r="M6" i="176"/>
  <c r="M10" i="176"/>
  <c r="K6" i="176"/>
  <c r="I6" i="176"/>
  <c r="X16" i="175"/>
  <c r="V16" i="175"/>
  <c r="T16" i="175"/>
  <c r="R16" i="175"/>
  <c r="P16" i="175"/>
  <c r="N16" i="175"/>
  <c r="L16" i="175"/>
  <c r="J16" i="175"/>
  <c r="H16" i="175"/>
  <c r="F15" i="175"/>
  <c r="F16" i="175"/>
  <c r="E15" i="175"/>
  <c r="E16" i="175"/>
  <c r="Y14" i="175"/>
  <c r="W14" i="175"/>
  <c r="U14" i="175"/>
  <c r="Z14" i="175"/>
  <c r="S14" i="175"/>
  <c r="AD14" i="175"/>
  <c r="Q14" i="175"/>
  <c r="O14" i="175"/>
  <c r="M14" i="175"/>
  <c r="K14" i="175"/>
  <c r="AB14" i="175"/>
  <c r="I14" i="175"/>
  <c r="Y13" i="175"/>
  <c r="W13" i="175"/>
  <c r="U13" i="175"/>
  <c r="S13" i="175"/>
  <c r="Q13" i="175"/>
  <c r="O13" i="175"/>
  <c r="Z13" i="175"/>
  <c r="M13" i="175"/>
  <c r="K13" i="175"/>
  <c r="K15" i="175"/>
  <c r="I13" i="175"/>
  <c r="Y12" i="175"/>
  <c r="W12" i="175"/>
  <c r="U12" i="175"/>
  <c r="S12" i="175"/>
  <c r="Q12" i="175"/>
  <c r="O12" i="175"/>
  <c r="M12" i="175"/>
  <c r="K12" i="175"/>
  <c r="AB12" i="175"/>
  <c r="I12" i="175"/>
  <c r="Y11" i="175"/>
  <c r="Y15" i="175"/>
  <c r="Y16" i="175"/>
  <c r="W11" i="175"/>
  <c r="W15" i="175"/>
  <c r="U11" i="175"/>
  <c r="S11" i="175"/>
  <c r="S15" i="175"/>
  <c r="Q11" i="175"/>
  <c r="O11" i="175"/>
  <c r="M11" i="175"/>
  <c r="K11" i="175"/>
  <c r="AB11" i="175"/>
  <c r="I11" i="175"/>
  <c r="W10" i="175"/>
  <c r="F10" i="175"/>
  <c r="E10" i="175"/>
  <c r="Y9" i="175"/>
  <c r="Q9" i="175"/>
  <c r="O9" i="175"/>
  <c r="M9" i="175"/>
  <c r="K9" i="175"/>
  <c r="AB9" i="175"/>
  <c r="G9" i="175"/>
  <c r="I9" i="175"/>
  <c r="Z9" i="175"/>
  <c r="Y8" i="175"/>
  <c r="Y10" i="175"/>
  <c r="Q8" i="175"/>
  <c r="AB8" i="175"/>
  <c r="O8" i="175"/>
  <c r="M8" i="175"/>
  <c r="K8" i="175"/>
  <c r="I8" i="175"/>
  <c r="Y7" i="175"/>
  <c r="Q7" i="175"/>
  <c r="O7" i="175"/>
  <c r="M7" i="175"/>
  <c r="K7" i="175"/>
  <c r="AB7" i="175"/>
  <c r="I7" i="175"/>
  <c r="Y6" i="175"/>
  <c r="U10" i="175"/>
  <c r="U16" i="175"/>
  <c r="Q6" i="175"/>
  <c r="O6" i="175"/>
  <c r="M6" i="175"/>
  <c r="K6" i="175"/>
  <c r="I6" i="175"/>
  <c r="Y40" i="174"/>
  <c r="W40" i="174"/>
  <c r="U40" i="174"/>
  <c r="S40" i="174"/>
  <c r="Q40" i="174"/>
  <c r="O40" i="174"/>
  <c r="M40" i="174"/>
  <c r="K40" i="174"/>
  <c r="I40" i="174"/>
  <c r="G40" i="174"/>
  <c r="X16" i="174"/>
  <c r="V16" i="174"/>
  <c r="T16" i="174"/>
  <c r="R16" i="174"/>
  <c r="P16" i="174"/>
  <c r="N16" i="174"/>
  <c r="L16" i="174"/>
  <c r="J16" i="174"/>
  <c r="H16" i="174"/>
  <c r="F15" i="174"/>
  <c r="F16" i="174"/>
  <c r="E15" i="174"/>
  <c r="E16" i="174"/>
  <c r="Y14" i="174"/>
  <c r="W14" i="174"/>
  <c r="U14" i="174"/>
  <c r="S14" i="174"/>
  <c r="AD14" i="174"/>
  <c r="Q14" i="174"/>
  <c r="O14" i="174"/>
  <c r="M14" i="174"/>
  <c r="K14" i="174"/>
  <c r="I14" i="174"/>
  <c r="Y13" i="174"/>
  <c r="W13" i="174"/>
  <c r="U13" i="174"/>
  <c r="S13" i="174"/>
  <c r="Q13" i="174"/>
  <c r="AB13" i="174"/>
  <c r="O13" i="174"/>
  <c r="M13" i="174"/>
  <c r="K13" i="174"/>
  <c r="I13" i="174"/>
  <c r="Z13" i="174"/>
  <c r="Y12" i="174"/>
  <c r="W12" i="174"/>
  <c r="AB12" i="174"/>
  <c r="U12" i="174"/>
  <c r="S12" i="174"/>
  <c r="Q12" i="174"/>
  <c r="O12" i="174"/>
  <c r="M12" i="174"/>
  <c r="K12" i="174"/>
  <c r="I12" i="174"/>
  <c r="Y11" i="174"/>
  <c r="W11" i="174"/>
  <c r="U11" i="174"/>
  <c r="S11" i="174"/>
  <c r="Q11" i="174"/>
  <c r="Q15" i="174"/>
  <c r="Q16" i="174"/>
  <c r="O11" i="174"/>
  <c r="M11" i="174"/>
  <c r="K11" i="174"/>
  <c r="AB11" i="174"/>
  <c r="I11" i="174"/>
  <c r="F10" i="174"/>
  <c r="E10" i="174"/>
  <c r="Y9" i="174"/>
  <c r="Q9" i="174"/>
  <c r="O9" i="174"/>
  <c r="M9" i="174"/>
  <c r="AD9" i="174"/>
  <c r="K9" i="174"/>
  <c r="I9" i="174"/>
  <c r="Z9" i="174"/>
  <c r="Y8" i="174"/>
  <c r="Q8" i="174"/>
  <c r="O8" i="174"/>
  <c r="M8" i="174"/>
  <c r="K8" i="174"/>
  <c r="I8" i="174"/>
  <c r="Y7" i="174"/>
  <c r="Q7" i="174"/>
  <c r="O7" i="174"/>
  <c r="Z7" i="174"/>
  <c r="M7" i="174"/>
  <c r="AD7" i="174"/>
  <c r="K7" i="174"/>
  <c r="I7" i="174"/>
  <c r="Y6" i="174"/>
  <c r="Q6" i="174"/>
  <c r="O6" i="174"/>
  <c r="M6" i="174"/>
  <c r="K6" i="174"/>
  <c r="K10" i="174"/>
  <c r="I6" i="174"/>
  <c r="X16" i="173"/>
  <c r="V16" i="173"/>
  <c r="T16" i="173"/>
  <c r="R16" i="173"/>
  <c r="P16" i="173"/>
  <c r="N16" i="173"/>
  <c r="L16" i="173"/>
  <c r="J16" i="173"/>
  <c r="H16" i="173"/>
  <c r="F15" i="173"/>
  <c r="E15" i="173"/>
  <c r="Y14" i="173"/>
  <c r="W14" i="173"/>
  <c r="U14" i="173"/>
  <c r="S14" i="173"/>
  <c r="Q14" i="173"/>
  <c r="AB14" i="173"/>
  <c r="O14" i="173"/>
  <c r="Z14" i="173"/>
  <c r="M14" i="173"/>
  <c r="M15" i="173"/>
  <c r="K14" i="173"/>
  <c r="I14" i="173"/>
  <c r="Y13" i="173"/>
  <c r="W13" i="173"/>
  <c r="U13" i="173"/>
  <c r="S13" i="173"/>
  <c r="Q13" i="173"/>
  <c r="O13" i="173"/>
  <c r="Z13" i="173"/>
  <c r="G13" i="173"/>
  <c r="M13" i="173"/>
  <c r="AD13" i="173"/>
  <c r="K13" i="173"/>
  <c r="AB13" i="173"/>
  <c r="I13" i="173"/>
  <c r="Y12" i="173"/>
  <c r="W12" i="173"/>
  <c r="U12" i="173"/>
  <c r="S12" i="173"/>
  <c r="Q12" i="173"/>
  <c r="Q15" i="173"/>
  <c r="O12" i="173"/>
  <c r="M12" i="173"/>
  <c r="K12" i="173"/>
  <c r="I12" i="173"/>
  <c r="Y11" i="173"/>
  <c r="W11" i="173"/>
  <c r="U11" i="173"/>
  <c r="S11" i="173"/>
  <c r="Q11" i="173"/>
  <c r="O11" i="173"/>
  <c r="M11" i="173"/>
  <c r="K11" i="173"/>
  <c r="I11" i="173"/>
  <c r="I15" i="173"/>
  <c r="F10" i="173"/>
  <c r="E10" i="173"/>
  <c r="E16" i="173"/>
  <c r="Y9" i="173"/>
  <c r="Q9" i="173"/>
  <c r="O9" i="173"/>
  <c r="M9" i="173"/>
  <c r="AD9" i="173"/>
  <c r="G9" i="173"/>
  <c r="K9" i="173"/>
  <c r="AB9" i="173"/>
  <c r="I9" i="173"/>
  <c r="Z9" i="173"/>
  <c r="Y8" i="173"/>
  <c r="Q8" i="173"/>
  <c r="AB8" i="173"/>
  <c r="O8" i="173"/>
  <c r="O10" i="173"/>
  <c r="M8" i="173"/>
  <c r="AD8" i="173"/>
  <c r="K8" i="173"/>
  <c r="I8" i="173"/>
  <c r="Y7" i="173"/>
  <c r="Q7" i="173"/>
  <c r="O7" i="173"/>
  <c r="M7" i="173"/>
  <c r="AD7" i="173"/>
  <c r="K7" i="173"/>
  <c r="AB7" i="173"/>
  <c r="I7" i="173"/>
  <c r="Z7" i="173"/>
  <c r="G7" i="173"/>
  <c r="Y6" i="173"/>
  <c r="Q6" i="173"/>
  <c r="O6" i="173"/>
  <c r="M6" i="173"/>
  <c r="K6" i="173"/>
  <c r="K10" i="173"/>
  <c r="I6" i="173"/>
  <c r="X16" i="172"/>
  <c r="V16" i="172"/>
  <c r="T16" i="172"/>
  <c r="R16" i="172"/>
  <c r="P16" i="172"/>
  <c r="N16" i="172"/>
  <c r="L16" i="172"/>
  <c r="J16" i="172"/>
  <c r="H16" i="172"/>
  <c r="F15" i="172"/>
  <c r="E15" i="172"/>
  <c r="E16" i="172"/>
  <c r="Y14" i="172"/>
  <c r="W14" i="172"/>
  <c r="U14" i="172"/>
  <c r="S14" i="172"/>
  <c r="Q14" i="172"/>
  <c r="O14" i="172"/>
  <c r="Z14" i="172"/>
  <c r="M14" i="172"/>
  <c r="AD14" i="172"/>
  <c r="K14" i="172"/>
  <c r="I14" i="172"/>
  <c r="Y13" i="172"/>
  <c r="W13" i="172"/>
  <c r="U13" i="172"/>
  <c r="S13" i="172"/>
  <c r="Q13" i="172"/>
  <c r="O13" i="172"/>
  <c r="M13" i="172"/>
  <c r="AD13" i="172"/>
  <c r="K13" i="172"/>
  <c r="AB13" i="172"/>
  <c r="I13" i="172"/>
  <c r="Y12" i="172"/>
  <c r="W12" i="172"/>
  <c r="U12" i="172"/>
  <c r="S12" i="172"/>
  <c r="Q12" i="172"/>
  <c r="O12" i="172"/>
  <c r="M12" i="172"/>
  <c r="AD12" i="172"/>
  <c r="K12" i="172"/>
  <c r="I12" i="172"/>
  <c r="Y11" i="172"/>
  <c r="W11" i="172"/>
  <c r="U11" i="172"/>
  <c r="S11" i="172"/>
  <c r="S15" i="172"/>
  <c r="S16" i="172"/>
  <c r="Q11" i="172"/>
  <c r="O11" i="172"/>
  <c r="Z11" i="172"/>
  <c r="M11" i="172"/>
  <c r="K11" i="172"/>
  <c r="AB11" i="172"/>
  <c r="I11" i="172"/>
  <c r="F10" i="172"/>
  <c r="E10" i="172"/>
  <c r="Y9" i="172"/>
  <c r="Q9" i="172"/>
  <c r="AB9" i="172"/>
  <c r="O9" i="172"/>
  <c r="M9" i="172"/>
  <c r="K9" i="172"/>
  <c r="I9" i="172"/>
  <c r="Z9" i="172"/>
  <c r="Y8" i="172"/>
  <c r="Q8" i="172"/>
  <c r="O8" i="172"/>
  <c r="M8" i="172"/>
  <c r="K8" i="172"/>
  <c r="I8" i="172"/>
  <c r="Y7" i="172"/>
  <c r="AD7" i="172"/>
  <c r="Q7" i="172"/>
  <c r="O7" i="172"/>
  <c r="M7" i="172"/>
  <c r="K7" i="172"/>
  <c r="I7" i="172"/>
  <c r="Z7" i="172"/>
  <c r="Y6" i="172"/>
  <c r="Q6" i="172"/>
  <c r="AB6" i="172"/>
  <c r="O6" i="172"/>
  <c r="M6" i="172"/>
  <c r="K6" i="172"/>
  <c r="I6" i="172"/>
  <c r="Z6" i="172"/>
  <c r="X16" i="171"/>
  <c r="V16" i="171"/>
  <c r="T16" i="171"/>
  <c r="R16" i="171"/>
  <c r="P16" i="171"/>
  <c r="N16" i="171"/>
  <c r="L16" i="171"/>
  <c r="J16" i="171"/>
  <c r="H16" i="171"/>
  <c r="F15" i="171"/>
  <c r="F16" i="171"/>
  <c r="E15" i="171"/>
  <c r="E16" i="171"/>
  <c r="Y14" i="171"/>
  <c r="W14" i="171"/>
  <c r="U14" i="171"/>
  <c r="S14" i="171"/>
  <c r="Q14" i="171"/>
  <c r="O14" i="171"/>
  <c r="Z14" i="171"/>
  <c r="M14" i="171"/>
  <c r="AD14" i="171"/>
  <c r="G14" i="171"/>
  <c r="K14" i="171"/>
  <c r="AB14" i="171"/>
  <c r="I14" i="171"/>
  <c r="Y13" i="171"/>
  <c r="W13" i="171"/>
  <c r="U13" i="171"/>
  <c r="S13" i="171"/>
  <c r="Q13" i="171"/>
  <c r="O13" i="171"/>
  <c r="M13" i="171"/>
  <c r="K13" i="171"/>
  <c r="I13" i="171"/>
  <c r="Y12" i="171"/>
  <c r="AD12" i="171"/>
  <c r="W12" i="171"/>
  <c r="U12" i="171"/>
  <c r="U15" i="171"/>
  <c r="U16" i="171"/>
  <c r="S12" i="171"/>
  <c r="Q12" i="171"/>
  <c r="O12" i="171"/>
  <c r="M12" i="171"/>
  <c r="K12" i="171"/>
  <c r="I12" i="171"/>
  <c r="Y11" i="171"/>
  <c r="W11" i="171"/>
  <c r="U11" i="171"/>
  <c r="S11" i="171"/>
  <c r="Q11" i="171"/>
  <c r="O11" i="171"/>
  <c r="Z11" i="171"/>
  <c r="M11" i="171"/>
  <c r="M15" i="171"/>
  <c r="M16" i="171"/>
  <c r="K11" i="171"/>
  <c r="I11" i="171"/>
  <c r="I15" i="171"/>
  <c r="F10" i="171"/>
  <c r="E10" i="171"/>
  <c r="Y9" i="171"/>
  <c r="Q9" i="171"/>
  <c r="O9" i="171"/>
  <c r="M9" i="171"/>
  <c r="K9" i="171"/>
  <c r="I9" i="171"/>
  <c r="Y8" i="171"/>
  <c r="Q8" i="171"/>
  <c r="O8" i="171"/>
  <c r="M8" i="171"/>
  <c r="AD8" i="171"/>
  <c r="K8" i="171"/>
  <c r="K10" i="171"/>
  <c r="I8" i="171"/>
  <c r="Y7" i="171"/>
  <c r="Q7" i="171"/>
  <c r="O7" i="171"/>
  <c r="O10" i="171"/>
  <c r="M7" i="171"/>
  <c r="K7" i="171"/>
  <c r="I7" i="171"/>
  <c r="Y6" i="171"/>
  <c r="Q6" i="171"/>
  <c r="O6" i="171"/>
  <c r="M6" i="171"/>
  <c r="K6" i="171"/>
  <c r="I6" i="171"/>
  <c r="X16" i="170"/>
  <c r="V16" i="170"/>
  <c r="T16" i="170"/>
  <c r="R16" i="170"/>
  <c r="P16" i="170"/>
  <c r="N16" i="170"/>
  <c r="L16" i="170"/>
  <c r="J16" i="170"/>
  <c r="H16" i="170"/>
  <c r="F15" i="170"/>
  <c r="E15" i="170"/>
  <c r="Y14" i="170"/>
  <c r="W14" i="170"/>
  <c r="U14" i="170"/>
  <c r="S14" i="170"/>
  <c r="Q14" i="170"/>
  <c r="O14" i="170"/>
  <c r="M14" i="170"/>
  <c r="AD14" i="170"/>
  <c r="K14" i="170"/>
  <c r="I14" i="170"/>
  <c r="Z14" i="170"/>
  <c r="Y13" i="170"/>
  <c r="W13" i="170"/>
  <c r="AB13" i="170"/>
  <c r="U13" i="170"/>
  <c r="S13" i="170"/>
  <c r="Q13" i="170"/>
  <c r="O13" i="170"/>
  <c r="M13" i="170"/>
  <c r="AD13" i="170"/>
  <c r="K13" i="170"/>
  <c r="I13" i="170"/>
  <c r="Y12" i="170"/>
  <c r="W12" i="170"/>
  <c r="U12" i="170"/>
  <c r="S12" i="170"/>
  <c r="S15" i="170"/>
  <c r="Q12" i="170"/>
  <c r="Q15" i="170"/>
  <c r="O12" i="170"/>
  <c r="M12" i="170"/>
  <c r="K12" i="170"/>
  <c r="I12" i="170"/>
  <c r="Y11" i="170"/>
  <c r="Y15" i="170"/>
  <c r="Y16" i="170"/>
  <c r="W11" i="170"/>
  <c r="W15" i="170"/>
  <c r="U11" i="170"/>
  <c r="U15" i="170"/>
  <c r="S11" i="170"/>
  <c r="Q11" i="170"/>
  <c r="O11" i="170"/>
  <c r="M11" i="170"/>
  <c r="K11" i="170"/>
  <c r="I11" i="170"/>
  <c r="F10" i="170"/>
  <c r="F16" i="170"/>
  <c r="E10" i="170"/>
  <c r="E16" i="170"/>
  <c r="Y9" i="170"/>
  <c r="Y10" i="170"/>
  <c r="Q9" i="170"/>
  <c r="O9" i="170"/>
  <c r="M9" i="170"/>
  <c r="K9" i="170"/>
  <c r="AB9" i="170"/>
  <c r="I9" i="170"/>
  <c r="Y8" i="170"/>
  <c r="Q8" i="170"/>
  <c r="O8" i="170"/>
  <c r="M8" i="170"/>
  <c r="K8" i="170"/>
  <c r="I8" i="170"/>
  <c r="Z8" i="170"/>
  <c r="I10" i="170"/>
  <c r="Y7" i="170"/>
  <c r="Q7" i="170"/>
  <c r="O7" i="170"/>
  <c r="Z7" i="170"/>
  <c r="M7" i="170"/>
  <c r="K7" i="170"/>
  <c r="I7" i="170"/>
  <c r="Y6" i="170"/>
  <c r="Q6" i="170"/>
  <c r="O6" i="170"/>
  <c r="M6" i="170"/>
  <c r="K6" i="170"/>
  <c r="I6" i="170"/>
  <c r="X16" i="169"/>
  <c r="V16" i="169"/>
  <c r="T16" i="169"/>
  <c r="R16" i="169"/>
  <c r="P16" i="169"/>
  <c r="N16" i="169"/>
  <c r="L16" i="169"/>
  <c r="J16" i="169"/>
  <c r="H16" i="169"/>
  <c r="F15" i="169"/>
  <c r="E15" i="169"/>
  <c r="Y14" i="169"/>
  <c r="W14" i="169"/>
  <c r="U14" i="169"/>
  <c r="S14" i="169"/>
  <c r="Q14" i="169"/>
  <c r="O14" i="169"/>
  <c r="M14" i="169"/>
  <c r="K14" i="169"/>
  <c r="I14" i="169"/>
  <c r="Z14" i="169"/>
  <c r="Y13" i="169"/>
  <c r="W13" i="169"/>
  <c r="U13" i="169"/>
  <c r="S13" i="169"/>
  <c r="Q13" i="169"/>
  <c r="Q15" i="169"/>
  <c r="O13" i="169"/>
  <c r="M13" i="169"/>
  <c r="K13" i="169"/>
  <c r="I13" i="169"/>
  <c r="Y12" i="169"/>
  <c r="W12" i="169"/>
  <c r="AB12" i="169"/>
  <c r="U12" i="169"/>
  <c r="S12" i="169"/>
  <c r="Q12" i="169"/>
  <c r="O12" i="169"/>
  <c r="Z12" i="169"/>
  <c r="G12" i="169"/>
  <c r="M12" i="169"/>
  <c r="K12" i="169"/>
  <c r="K15" i="169"/>
  <c r="I12" i="169"/>
  <c r="Y11" i="169"/>
  <c r="W11" i="169"/>
  <c r="U11" i="169"/>
  <c r="S11" i="169"/>
  <c r="S15" i="169"/>
  <c r="S16" i="169"/>
  <c r="Q11" i="169"/>
  <c r="O11" i="169"/>
  <c r="M11" i="169"/>
  <c r="K11" i="169"/>
  <c r="I11" i="169"/>
  <c r="I15" i="169"/>
  <c r="F10" i="169"/>
  <c r="E10" i="169"/>
  <c r="E16" i="169"/>
  <c r="Y9" i="169"/>
  <c r="Q9" i="169"/>
  <c r="Q10" i="169"/>
  <c r="O9" i="169"/>
  <c r="M9" i="169"/>
  <c r="K9" i="169"/>
  <c r="I9" i="169"/>
  <c r="Y8" i="169"/>
  <c r="Q8" i="169"/>
  <c r="O8" i="169"/>
  <c r="M8" i="169"/>
  <c r="AD8" i="169"/>
  <c r="K8" i="169"/>
  <c r="AB8" i="169"/>
  <c r="I8" i="169"/>
  <c r="I10" i="169"/>
  <c r="Y7" i="169"/>
  <c r="Q7" i="169"/>
  <c r="O7" i="169"/>
  <c r="Z7" i="169"/>
  <c r="M7" i="169"/>
  <c r="K7" i="169"/>
  <c r="K10" i="169"/>
  <c r="K16" i="169"/>
  <c r="I7" i="169"/>
  <c r="Y6" i="169"/>
  <c r="Q6" i="169"/>
  <c r="O6" i="169"/>
  <c r="M6" i="169"/>
  <c r="K6" i="169"/>
  <c r="I6" i="169"/>
  <c r="X16" i="168"/>
  <c r="V16" i="168"/>
  <c r="T16" i="168"/>
  <c r="R16" i="168"/>
  <c r="P16" i="168"/>
  <c r="N16" i="168"/>
  <c r="L16" i="168"/>
  <c r="J16" i="168"/>
  <c r="H16" i="168"/>
  <c r="F15" i="168"/>
  <c r="F16" i="168"/>
  <c r="E15" i="168"/>
  <c r="E16" i="168"/>
  <c r="Y14" i="168"/>
  <c r="W14" i="168"/>
  <c r="U14" i="168"/>
  <c r="S14" i="168"/>
  <c r="Q14" i="168"/>
  <c r="O14" i="168"/>
  <c r="M14" i="168"/>
  <c r="AD14" i="168"/>
  <c r="K14" i="168"/>
  <c r="AB14" i="168"/>
  <c r="I14" i="168"/>
  <c r="Y13" i="168"/>
  <c r="W13" i="168"/>
  <c r="U13" i="168"/>
  <c r="S13" i="168"/>
  <c r="S15" i="168"/>
  <c r="Q13" i="168"/>
  <c r="AB13" i="168"/>
  <c r="O13" i="168"/>
  <c r="M13" i="168"/>
  <c r="K13" i="168"/>
  <c r="I13" i="168"/>
  <c r="Y12" i="168"/>
  <c r="W12" i="168"/>
  <c r="U12" i="168"/>
  <c r="S12" i="168"/>
  <c r="Q12" i="168"/>
  <c r="O12" i="168"/>
  <c r="M12" i="168"/>
  <c r="AD12" i="168"/>
  <c r="K12" i="168"/>
  <c r="I12" i="168"/>
  <c r="Z12" i="168"/>
  <c r="Y11" i="168"/>
  <c r="W11" i="168"/>
  <c r="U11" i="168"/>
  <c r="S11" i="168"/>
  <c r="Q11" i="168"/>
  <c r="O11" i="168"/>
  <c r="O15" i="168"/>
  <c r="M11" i="168"/>
  <c r="K11" i="168"/>
  <c r="AB11" i="168"/>
  <c r="AB15" i="168"/>
  <c r="I11" i="168"/>
  <c r="F10" i="168"/>
  <c r="E10" i="168"/>
  <c r="Y9" i="168"/>
  <c r="Q9" i="168"/>
  <c r="AB9" i="168"/>
  <c r="O9" i="168"/>
  <c r="Z9" i="168"/>
  <c r="M9" i="168"/>
  <c r="AD9" i="168"/>
  <c r="K9" i="168"/>
  <c r="I9" i="168"/>
  <c r="Y8" i="168"/>
  <c r="Q8" i="168"/>
  <c r="O8" i="168"/>
  <c r="Z8" i="168"/>
  <c r="M8" i="168"/>
  <c r="AD8" i="168"/>
  <c r="K8" i="168"/>
  <c r="I8" i="168"/>
  <c r="I10" i="168"/>
  <c r="Y7" i="168"/>
  <c r="Q7" i="168"/>
  <c r="O7" i="168"/>
  <c r="M7" i="168"/>
  <c r="K7" i="168"/>
  <c r="AB7" i="168"/>
  <c r="I7" i="168"/>
  <c r="Y6" i="168"/>
  <c r="Q6" i="168"/>
  <c r="O6" i="168"/>
  <c r="M6" i="168"/>
  <c r="K6" i="168"/>
  <c r="I6" i="168"/>
  <c r="X16" i="167"/>
  <c r="V16" i="167"/>
  <c r="T16" i="167"/>
  <c r="R16" i="167"/>
  <c r="P16" i="167"/>
  <c r="N16" i="167"/>
  <c r="L16" i="167"/>
  <c r="J16" i="167"/>
  <c r="H16" i="167"/>
  <c r="F15" i="167"/>
  <c r="F16" i="167"/>
  <c r="E15" i="167"/>
  <c r="Y14" i="167"/>
  <c r="W14" i="167"/>
  <c r="U14" i="167"/>
  <c r="S14" i="167"/>
  <c r="Q14" i="167"/>
  <c r="O14" i="167"/>
  <c r="M14" i="167"/>
  <c r="AD14" i="167"/>
  <c r="K14" i="167"/>
  <c r="I14" i="167"/>
  <c r="Y13" i="167"/>
  <c r="W13" i="167"/>
  <c r="AB13" i="167"/>
  <c r="U13" i="167"/>
  <c r="S13" i="167"/>
  <c r="Q13" i="167"/>
  <c r="O13" i="167"/>
  <c r="M13" i="167"/>
  <c r="K13" i="167"/>
  <c r="I13" i="167"/>
  <c r="Y12" i="167"/>
  <c r="W12" i="167"/>
  <c r="U12" i="167"/>
  <c r="Z12" i="167"/>
  <c r="S12" i="167"/>
  <c r="Q12" i="167"/>
  <c r="O12" i="167"/>
  <c r="M12" i="167"/>
  <c r="K12" i="167"/>
  <c r="I12" i="167"/>
  <c r="Y11" i="167"/>
  <c r="Y15" i="167"/>
  <c r="W11" i="167"/>
  <c r="W15" i="167"/>
  <c r="U11" i="167"/>
  <c r="S11" i="167"/>
  <c r="Q11" i="167"/>
  <c r="Q15" i="167"/>
  <c r="O11" i="167"/>
  <c r="M11" i="167"/>
  <c r="K11" i="167"/>
  <c r="I11" i="167"/>
  <c r="Z11" i="167"/>
  <c r="F10" i="167"/>
  <c r="E10" i="167"/>
  <c r="Y9" i="167"/>
  <c r="Q9" i="167"/>
  <c r="O9" i="167"/>
  <c r="M9" i="167"/>
  <c r="AD9" i="167"/>
  <c r="K9" i="167"/>
  <c r="AB9" i="167"/>
  <c r="I9" i="167"/>
  <c r="Z9" i="167"/>
  <c r="G9" i="167"/>
  <c r="Y8" i="167"/>
  <c r="AD8" i="167"/>
  <c r="Q8" i="167"/>
  <c r="O8" i="167"/>
  <c r="M8" i="167"/>
  <c r="K8" i="167"/>
  <c r="AB8" i="167"/>
  <c r="I8" i="167"/>
  <c r="Y7" i="167"/>
  <c r="Q7" i="167"/>
  <c r="O7" i="167"/>
  <c r="M7" i="167"/>
  <c r="K7" i="167"/>
  <c r="I7" i="167"/>
  <c r="Y6" i="167"/>
  <c r="Q6" i="167"/>
  <c r="O6" i="167"/>
  <c r="O10" i="167"/>
  <c r="M6" i="167"/>
  <c r="K6" i="167"/>
  <c r="I6" i="167"/>
  <c r="Z6" i="167"/>
  <c r="X16" i="166"/>
  <c r="V16" i="166"/>
  <c r="T16" i="166"/>
  <c r="R16" i="166"/>
  <c r="P16" i="166"/>
  <c r="N16" i="166"/>
  <c r="L16" i="166"/>
  <c r="J16" i="166"/>
  <c r="H16" i="166"/>
  <c r="F15" i="166"/>
  <c r="E15" i="166"/>
  <c r="E16" i="166"/>
  <c r="Y14" i="166"/>
  <c r="W14" i="166"/>
  <c r="U14" i="166"/>
  <c r="S14" i="166"/>
  <c r="Q14" i="166"/>
  <c r="O14" i="166"/>
  <c r="M14" i="166"/>
  <c r="K14" i="166"/>
  <c r="AB14" i="166"/>
  <c r="I14" i="166"/>
  <c r="Z14" i="166"/>
  <c r="Y13" i="166"/>
  <c r="W13" i="166"/>
  <c r="W15" i="166"/>
  <c r="U13" i="166"/>
  <c r="U15" i="166"/>
  <c r="S13" i="166"/>
  <c r="Q13" i="166"/>
  <c r="O13" i="166"/>
  <c r="M13" i="166"/>
  <c r="AD13" i="166"/>
  <c r="K13" i="166"/>
  <c r="AB13" i="166"/>
  <c r="G13" i="166"/>
  <c r="I13" i="166"/>
  <c r="Y12" i="166"/>
  <c r="W12" i="166"/>
  <c r="U12" i="166"/>
  <c r="S12" i="166"/>
  <c r="Q12" i="166"/>
  <c r="O12" i="166"/>
  <c r="Z12" i="166"/>
  <c r="M12" i="166"/>
  <c r="AD12" i="166"/>
  <c r="K12" i="166"/>
  <c r="I12" i="166"/>
  <c r="Y11" i="166"/>
  <c r="W11" i="166"/>
  <c r="U11" i="166"/>
  <c r="S11" i="166"/>
  <c r="S15" i="166"/>
  <c r="Q11" i="166"/>
  <c r="O11" i="166"/>
  <c r="M11" i="166"/>
  <c r="K11" i="166"/>
  <c r="I11" i="166"/>
  <c r="F10" i="166"/>
  <c r="F16" i="166"/>
  <c r="E10" i="166"/>
  <c r="Y9" i="166"/>
  <c r="Q9" i="166"/>
  <c r="O9" i="166"/>
  <c r="M9" i="166"/>
  <c r="AD9" i="166"/>
  <c r="K9" i="166"/>
  <c r="AB9" i="166"/>
  <c r="I9" i="166"/>
  <c r="Y8" i="166"/>
  <c r="Q8" i="166"/>
  <c r="O8" i="166"/>
  <c r="M8" i="166"/>
  <c r="K8" i="166"/>
  <c r="I8" i="166"/>
  <c r="Y7" i="166"/>
  <c r="Q7" i="166"/>
  <c r="Q10" i="166"/>
  <c r="Q16" i="166"/>
  <c r="O7" i="166"/>
  <c r="M7" i="166"/>
  <c r="K7" i="166"/>
  <c r="I7" i="166"/>
  <c r="Z7" i="166"/>
  <c r="Y6" i="166"/>
  <c r="Q6" i="166"/>
  <c r="O6" i="166"/>
  <c r="M6" i="166"/>
  <c r="K6" i="166"/>
  <c r="I6" i="166"/>
  <c r="I10" i="166"/>
  <c r="X16" i="165"/>
  <c r="V16" i="165"/>
  <c r="T16" i="165"/>
  <c r="R16" i="165"/>
  <c r="P16" i="165"/>
  <c r="N16" i="165"/>
  <c r="L16" i="165"/>
  <c r="J16" i="165"/>
  <c r="H16" i="165"/>
  <c r="F15" i="165"/>
  <c r="F16" i="165"/>
  <c r="E15" i="165"/>
  <c r="E16" i="165"/>
  <c r="Y14" i="165"/>
  <c r="W14" i="165"/>
  <c r="U14" i="165"/>
  <c r="S14" i="165"/>
  <c r="Q14" i="165"/>
  <c r="Q15" i="165"/>
  <c r="O14" i="165"/>
  <c r="Z14" i="165"/>
  <c r="M14" i="165"/>
  <c r="AD14" i="165"/>
  <c r="K14" i="165"/>
  <c r="I14" i="165"/>
  <c r="Y13" i="165"/>
  <c r="W13" i="165"/>
  <c r="U13" i="165"/>
  <c r="S13" i="165"/>
  <c r="Q13" i="165"/>
  <c r="O13" i="165"/>
  <c r="M13" i="165"/>
  <c r="K13" i="165"/>
  <c r="I13" i="165"/>
  <c r="I15" i="165"/>
  <c r="I16" i="165"/>
  <c r="Y12" i="165"/>
  <c r="AD12" i="165"/>
  <c r="W12" i="165"/>
  <c r="U12" i="165"/>
  <c r="S12" i="165"/>
  <c r="Q12" i="165"/>
  <c r="O12" i="165"/>
  <c r="M12" i="165"/>
  <c r="M15" i="165"/>
  <c r="K12" i="165"/>
  <c r="I12" i="165"/>
  <c r="Z12" i="165"/>
  <c r="Y11" i="165"/>
  <c r="Y15" i="165"/>
  <c r="W11" i="165"/>
  <c r="U11" i="165"/>
  <c r="S11" i="165"/>
  <c r="Q11" i="165"/>
  <c r="AB11" i="165"/>
  <c r="O11" i="165"/>
  <c r="M11" i="165"/>
  <c r="K11" i="165"/>
  <c r="I11" i="165"/>
  <c r="F10" i="165"/>
  <c r="E10" i="165"/>
  <c r="Y9" i="165"/>
  <c r="AD9" i="165"/>
  <c r="G9" i="165"/>
  <c r="Q9" i="165"/>
  <c r="O9" i="165"/>
  <c r="M9" i="165"/>
  <c r="K9" i="165"/>
  <c r="I9" i="165"/>
  <c r="Z9" i="165"/>
  <c r="Y8" i="165"/>
  <c r="Q8" i="165"/>
  <c r="O8" i="165"/>
  <c r="M8" i="165"/>
  <c r="K8" i="165"/>
  <c r="I8" i="165"/>
  <c r="Z8" i="165"/>
  <c r="Y7" i="165"/>
  <c r="Q7" i="165"/>
  <c r="O7" i="165"/>
  <c r="M7" i="165"/>
  <c r="K7" i="165"/>
  <c r="AB7" i="165"/>
  <c r="I7" i="165"/>
  <c r="Y6" i="165"/>
  <c r="Q6" i="165"/>
  <c r="O6" i="165"/>
  <c r="M6" i="165"/>
  <c r="K6" i="165"/>
  <c r="AB6" i="165"/>
  <c r="I6" i="165"/>
  <c r="X16" i="164"/>
  <c r="V16" i="164"/>
  <c r="T16" i="164"/>
  <c r="R16" i="164"/>
  <c r="P16" i="164"/>
  <c r="N16" i="164"/>
  <c r="L16" i="164"/>
  <c r="J16" i="164"/>
  <c r="H16" i="164"/>
  <c r="F15" i="164"/>
  <c r="E15" i="164"/>
  <c r="E16" i="164"/>
  <c r="Y14" i="164"/>
  <c r="W14" i="164"/>
  <c r="U14" i="164"/>
  <c r="S14" i="164"/>
  <c r="Q14" i="164"/>
  <c r="AB14" i="164"/>
  <c r="O14" i="164"/>
  <c r="M14" i="164"/>
  <c r="K14" i="164"/>
  <c r="I14" i="164"/>
  <c r="Y13" i="164"/>
  <c r="W13" i="164"/>
  <c r="U13" i="164"/>
  <c r="S13" i="164"/>
  <c r="Q13" i="164"/>
  <c r="O13" i="164"/>
  <c r="M13" i="164"/>
  <c r="AD13" i="164"/>
  <c r="K13" i="164"/>
  <c r="I13" i="164"/>
  <c r="Y12" i="164"/>
  <c r="W12" i="164"/>
  <c r="U12" i="164"/>
  <c r="S12" i="164"/>
  <c r="Q12" i="164"/>
  <c r="Q15" i="164"/>
  <c r="O12" i="164"/>
  <c r="M12" i="164"/>
  <c r="K12" i="164"/>
  <c r="AB12" i="164"/>
  <c r="I12" i="164"/>
  <c r="Z12" i="164"/>
  <c r="Y11" i="164"/>
  <c r="W11" i="164"/>
  <c r="W15" i="164"/>
  <c r="U11" i="164"/>
  <c r="U15" i="164"/>
  <c r="S11" i="164"/>
  <c r="S15" i="164"/>
  <c r="Q11" i="164"/>
  <c r="O11" i="164"/>
  <c r="M11" i="164"/>
  <c r="K11" i="164"/>
  <c r="I11" i="164"/>
  <c r="F10" i="164"/>
  <c r="F16" i="164"/>
  <c r="E10" i="164"/>
  <c r="Y9" i="164"/>
  <c r="AD9" i="164"/>
  <c r="G9" i="164"/>
  <c r="Q9" i="164"/>
  <c r="O9" i="164"/>
  <c r="M9" i="164"/>
  <c r="K9" i="164"/>
  <c r="K10" i="164"/>
  <c r="AB9" i="164"/>
  <c r="I9" i="164"/>
  <c r="Z9" i="164"/>
  <c r="Y8" i="164"/>
  <c r="AD8" i="164"/>
  <c r="G8" i="164"/>
  <c r="Q8" i="164"/>
  <c r="O8" i="164"/>
  <c r="M8" i="164"/>
  <c r="K8" i="164"/>
  <c r="I8" i="164"/>
  <c r="Z8" i="164"/>
  <c r="Y7" i="164"/>
  <c r="Q7" i="164"/>
  <c r="O7" i="164"/>
  <c r="Z7" i="164"/>
  <c r="G7" i="164"/>
  <c r="M7" i="164"/>
  <c r="AD7" i="164"/>
  <c r="K7" i="164"/>
  <c r="I7" i="164"/>
  <c r="Y6" i="164"/>
  <c r="S10" i="164"/>
  <c r="Q6" i="164"/>
  <c r="Q10" i="164"/>
  <c r="Q16" i="164"/>
  <c r="O6" i="164"/>
  <c r="M6" i="164"/>
  <c r="K6" i="164"/>
  <c r="I6" i="164"/>
  <c r="X16" i="163"/>
  <c r="V16" i="163"/>
  <c r="T16" i="163"/>
  <c r="R16" i="163"/>
  <c r="P16" i="163"/>
  <c r="N16" i="163"/>
  <c r="L16" i="163"/>
  <c r="J16" i="163"/>
  <c r="H16" i="163"/>
  <c r="F15" i="163"/>
  <c r="F16" i="163"/>
  <c r="E15" i="163"/>
  <c r="Y14" i="163"/>
  <c r="AD14" i="163"/>
  <c r="W14" i="163"/>
  <c r="AB14" i="163"/>
  <c r="U14" i="163"/>
  <c r="S14" i="163"/>
  <c r="Q14" i="163"/>
  <c r="O14" i="163"/>
  <c r="M14" i="163"/>
  <c r="K14" i="163"/>
  <c r="I14" i="163"/>
  <c r="Y13" i="163"/>
  <c r="W13" i="163"/>
  <c r="U13" i="163"/>
  <c r="S13" i="163"/>
  <c r="Q13" i="163"/>
  <c r="Q15" i="163"/>
  <c r="O13" i="163"/>
  <c r="O15" i="163"/>
  <c r="M13" i="163"/>
  <c r="AD13" i="163"/>
  <c r="K13" i="163"/>
  <c r="I13" i="163"/>
  <c r="Y12" i="163"/>
  <c r="Y15" i="163"/>
  <c r="W12" i="163"/>
  <c r="U12" i="163"/>
  <c r="S12" i="163"/>
  <c r="Q12" i="163"/>
  <c r="O12" i="163"/>
  <c r="M12" i="163"/>
  <c r="K12" i="163"/>
  <c r="I12" i="163"/>
  <c r="Z12" i="163"/>
  <c r="Y11" i="163"/>
  <c r="W11" i="163"/>
  <c r="U11" i="163"/>
  <c r="S11" i="163"/>
  <c r="AD11" i="163"/>
  <c r="Q11" i="163"/>
  <c r="O11" i="163"/>
  <c r="M11" i="163"/>
  <c r="K11" i="163"/>
  <c r="I11" i="163"/>
  <c r="F10" i="163"/>
  <c r="E10" i="163"/>
  <c r="E16" i="163"/>
  <c r="Y9" i="163"/>
  <c r="Q9" i="163"/>
  <c r="O9" i="163"/>
  <c r="M9" i="163"/>
  <c r="K9" i="163"/>
  <c r="I9" i="163"/>
  <c r="Z9" i="163"/>
  <c r="Y8" i="163"/>
  <c r="Q8" i="163"/>
  <c r="AB8" i="163"/>
  <c r="O8" i="163"/>
  <c r="M8" i="163"/>
  <c r="K8" i="163"/>
  <c r="I8" i="163"/>
  <c r="Y7" i="163"/>
  <c r="AD7" i="163"/>
  <c r="Q7" i="163"/>
  <c r="O7" i="163"/>
  <c r="Z7" i="163"/>
  <c r="G7" i="163"/>
  <c r="M7" i="163"/>
  <c r="K7" i="163"/>
  <c r="AB7" i="163"/>
  <c r="I7" i="163"/>
  <c r="Y6" i="163"/>
  <c r="Q6" i="163"/>
  <c r="O6" i="163"/>
  <c r="M6" i="163"/>
  <c r="M10" i="163"/>
  <c r="K6" i="163"/>
  <c r="I6" i="163"/>
  <c r="X16" i="162"/>
  <c r="V16" i="162"/>
  <c r="T16" i="162"/>
  <c r="R16" i="162"/>
  <c r="P16" i="162"/>
  <c r="N16" i="162"/>
  <c r="L16" i="162"/>
  <c r="J16" i="162"/>
  <c r="H16" i="162"/>
  <c r="F15" i="162"/>
  <c r="E15" i="162"/>
  <c r="E16" i="162"/>
  <c r="Y14" i="162"/>
  <c r="W14" i="162"/>
  <c r="U14" i="162"/>
  <c r="S14" i="162"/>
  <c r="Q14" i="162"/>
  <c r="O14" i="162"/>
  <c r="M14" i="162"/>
  <c r="K14" i="162"/>
  <c r="AB14" i="162"/>
  <c r="I14" i="162"/>
  <c r="Z14" i="162"/>
  <c r="Y13" i="162"/>
  <c r="W13" i="162"/>
  <c r="U13" i="162"/>
  <c r="S13" i="162"/>
  <c r="Q13" i="162"/>
  <c r="AB13" i="162"/>
  <c r="O13" i="162"/>
  <c r="M13" i="162"/>
  <c r="K13" i="162"/>
  <c r="I13" i="162"/>
  <c r="Y12" i="162"/>
  <c r="W12" i="162"/>
  <c r="U12" i="162"/>
  <c r="S12" i="162"/>
  <c r="Q12" i="162"/>
  <c r="O12" i="162"/>
  <c r="M12" i="162"/>
  <c r="K12" i="162"/>
  <c r="I12" i="162"/>
  <c r="Y11" i="162"/>
  <c r="W11" i="162"/>
  <c r="U11" i="162"/>
  <c r="S11" i="162"/>
  <c r="Q11" i="162"/>
  <c r="O11" i="162"/>
  <c r="M11" i="162"/>
  <c r="K11" i="162"/>
  <c r="I11" i="162"/>
  <c r="F10" i="162"/>
  <c r="F16" i="162"/>
  <c r="E10" i="162"/>
  <c r="Y9" i="162"/>
  <c r="Q9" i="162"/>
  <c r="O9" i="162"/>
  <c r="M9" i="162"/>
  <c r="AD9" i="162"/>
  <c r="K9" i="162"/>
  <c r="I9" i="162"/>
  <c r="Y8" i="162"/>
  <c r="Q8" i="162"/>
  <c r="O8" i="162"/>
  <c r="M8" i="162"/>
  <c r="K8" i="162"/>
  <c r="I8" i="162"/>
  <c r="Y7" i="162"/>
  <c r="Q7" i="162"/>
  <c r="O7" i="162"/>
  <c r="M7" i="162"/>
  <c r="K7" i="162"/>
  <c r="AB7" i="162"/>
  <c r="I7" i="162"/>
  <c r="Z7" i="162"/>
  <c r="G7" i="162"/>
  <c r="Y6" i="162"/>
  <c r="Q6" i="162"/>
  <c r="O6" i="162"/>
  <c r="O10" i="162"/>
  <c r="M6" i="162"/>
  <c r="K6" i="162"/>
  <c r="I6" i="162"/>
  <c r="X16" i="161"/>
  <c r="V16" i="161"/>
  <c r="T16" i="161"/>
  <c r="R16" i="161"/>
  <c r="P16" i="161"/>
  <c r="N16" i="161"/>
  <c r="L16" i="161"/>
  <c r="J16" i="161"/>
  <c r="H16" i="161"/>
  <c r="F15" i="161"/>
  <c r="E15" i="161"/>
  <c r="E16" i="161"/>
  <c r="Y14" i="161"/>
  <c r="W14" i="161"/>
  <c r="AB14" i="161"/>
  <c r="U14" i="161"/>
  <c r="S14" i="161"/>
  <c r="Q14" i="161"/>
  <c r="O14" i="161"/>
  <c r="Z14" i="161"/>
  <c r="M14" i="161"/>
  <c r="K14" i="161"/>
  <c r="I14" i="161"/>
  <c r="Y13" i="161"/>
  <c r="W13" i="161"/>
  <c r="U13" i="161"/>
  <c r="S13" i="161"/>
  <c r="Q13" i="161"/>
  <c r="O13" i="161"/>
  <c r="M13" i="161"/>
  <c r="AD13" i="161"/>
  <c r="K13" i="161"/>
  <c r="I13" i="161"/>
  <c r="Y12" i="161"/>
  <c r="W12" i="161"/>
  <c r="U12" i="161"/>
  <c r="S12" i="161"/>
  <c r="Q12" i="161"/>
  <c r="O12" i="161"/>
  <c r="M12" i="161"/>
  <c r="K12" i="161"/>
  <c r="I12" i="161"/>
  <c r="Y11" i="161"/>
  <c r="W11" i="161"/>
  <c r="AB11" i="161"/>
  <c r="U11" i="161"/>
  <c r="S11" i="161"/>
  <c r="AD11" i="161"/>
  <c r="Q11" i="161"/>
  <c r="O11" i="161"/>
  <c r="M11" i="161"/>
  <c r="K11" i="161"/>
  <c r="I11" i="161"/>
  <c r="F10" i="161"/>
  <c r="F16" i="161"/>
  <c r="E10" i="161"/>
  <c r="Y9" i="161"/>
  <c r="Q9" i="161"/>
  <c r="Q10" i="161"/>
  <c r="O9" i="161"/>
  <c r="M9" i="161"/>
  <c r="AD9" i="161"/>
  <c r="K9" i="161"/>
  <c r="I9" i="161"/>
  <c r="Y8" i="161"/>
  <c r="Q8" i="161"/>
  <c r="O8" i="161"/>
  <c r="M8" i="161"/>
  <c r="AD8" i="161"/>
  <c r="K8" i="161"/>
  <c r="AB8" i="161"/>
  <c r="I8" i="161"/>
  <c r="Y7" i="161"/>
  <c r="Q7" i="161"/>
  <c r="O7" i="161"/>
  <c r="Z7" i="161"/>
  <c r="M7" i="161"/>
  <c r="K7" i="161"/>
  <c r="AB7" i="161"/>
  <c r="I7" i="161"/>
  <c r="Y6" i="161"/>
  <c r="Y10" i="161"/>
  <c r="Q6" i="161"/>
  <c r="O6" i="161"/>
  <c r="Z6" i="161"/>
  <c r="M6" i="161"/>
  <c r="AD6" i="161"/>
  <c r="K6" i="161"/>
  <c r="I6" i="161"/>
  <c r="X16" i="160"/>
  <c r="V16" i="160"/>
  <c r="T16" i="160"/>
  <c r="R16" i="160"/>
  <c r="P16" i="160"/>
  <c r="N16" i="160"/>
  <c r="L16" i="160"/>
  <c r="J16" i="160"/>
  <c r="H16" i="160"/>
  <c r="F15" i="160"/>
  <c r="F16" i="160"/>
  <c r="E15" i="160"/>
  <c r="E16" i="160"/>
  <c r="Y14" i="160"/>
  <c r="W14" i="160"/>
  <c r="U14" i="160"/>
  <c r="S14" i="160"/>
  <c r="Q14" i="160"/>
  <c r="O14" i="160"/>
  <c r="Z14" i="160"/>
  <c r="M14" i="160"/>
  <c r="AD14" i="160"/>
  <c r="K14" i="160"/>
  <c r="AB14" i="160"/>
  <c r="G14" i="160"/>
  <c r="I14" i="160"/>
  <c r="Y13" i="160"/>
  <c r="W13" i="160"/>
  <c r="U13" i="160"/>
  <c r="Z13" i="160"/>
  <c r="S13" i="160"/>
  <c r="Q13" i="160"/>
  <c r="O13" i="160"/>
  <c r="M13" i="160"/>
  <c r="K13" i="160"/>
  <c r="AB13" i="160"/>
  <c r="I13" i="160"/>
  <c r="Y12" i="160"/>
  <c r="Y15" i="160"/>
  <c r="W12" i="160"/>
  <c r="U12" i="160"/>
  <c r="Z12" i="160"/>
  <c r="S12" i="160"/>
  <c r="Q12" i="160"/>
  <c r="O12" i="160"/>
  <c r="M12" i="160"/>
  <c r="K12" i="160"/>
  <c r="I12" i="160"/>
  <c r="Y11" i="160"/>
  <c r="W11" i="160"/>
  <c r="U11" i="160"/>
  <c r="U15" i="160"/>
  <c r="S11" i="160"/>
  <c r="S15" i="160"/>
  <c r="S16" i="160"/>
  <c r="Q11" i="160"/>
  <c r="O11" i="160"/>
  <c r="M11" i="160"/>
  <c r="K11" i="160"/>
  <c r="I11" i="160"/>
  <c r="F10" i="160"/>
  <c r="E10" i="160"/>
  <c r="Y9" i="160"/>
  <c r="Q9" i="160"/>
  <c r="O9" i="160"/>
  <c r="M9" i="160"/>
  <c r="K9" i="160"/>
  <c r="AB9" i="160"/>
  <c r="I9" i="160"/>
  <c r="I10" i="160"/>
  <c r="Y8" i="160"/>
  <c r="Q8" i="160"/>
  <c r="AB8" i="160"/>
  <c r="O8" i="160"/>
  <c r="M8" i="160"/>
  <c r="AD8" i="160"/>
  <c r="K8" i="160"/>
  <c r="I8" i="160"/>
  <c r="Y7" i="160"/>
  <c r="AD7" i="160"/>
  <c r="Q7" i="160"/>
  <c r="O7" i="160"/>
  <c r="M7" i="160"/>
  <c r="K7" i="160"/>
  <c r="K10" i="160"/>
  <c r="I7" i="160"/>
  <c r="Y6" i="160"/>
  <c r="Y10" i="160"/>
  <c r="Y16" i="160"/>
  <c r="Q6" i="160"/>
  <c r="O6" i="160"/>
  <c r="Z6" i="160"/>
  <c r="M6" i="160"/>
  <c r="K6" i="160"/>
  <c r="I6" i="160"/>
  <c r="X16" i="159"/>
  <c r="V16" i="159"/>
  <c r="T16" i="159"/>
  <c r="R16" i="159"/>
  <c r="P16" i="159"/>
  <c r="N16" i="159"/>
  <c r="L16" i="159"/>
  <c r="J16" i="159"/>
  <c r="H16" i="159"/>
  <c r="F15" i="159"/>
  <c r="F16" i="159"/>
  <c r="E15" i="159"/>
  <c r="E16" i="159"/>
  <c r="Y14" i="159"/>
  <c r="W14" i="159"/>
  <c r="U14" i="159"/>
  <c r="S14" i="159"/>
  <c r="Q14" i="159"/>
  <c r="O14" i="159"/>
  <c r="M14" i="159"/>
  <c r="K14" i="159"/>
  <c r="AB14" i="159"/>
  <c r="I14" i="159"/>
  <c r="Y13" i="159"/>
  <c r="W13" i="159"/>
  <c r="U13" i="159"/>
  <c r="Z13" i="159"/>
  <c r="S13" i="159"/>
  <c r="S15" i="159"/>
  <c r="Q13" i="159"/>
  <c r="O13" i="159"/>
  <c r="M13" i="159"/>
  <c r="AD13" i="159"/>
  <c r="K13" i="159"/>
  <c r="I13" i="159"/>
  <c r="Y12" i="159"/>
  <c r="W12" i="159"/>
  <c r="U12" i="159"/>
  <c r="S12" i="159"/>
  <c r="Q12" i="159"/>
  <c r="O12" i="159"/>
  <c r="Z12" i="159"/>
  <c r="M12" i="159"/>
  <c r="AD12" i="159"/>
  <c r="K12" i="159"/>
  <c r="AB12" i="159"/>
  <c r="I12" i="159"/>
  <c r="Y11" i="159"/>
  <c r="W11" i="159"/>
  <c r="W15" i="159"/>
  <c r="W16" i="159"/>
  <c r="U11" i="159"/>
  <c r="S11" i="159"/>
  <c r="Q11" i="159"/>
  <c r="O11" i="159"/>
  <c r="O15" i="159"/>
  <c r="O16" i="159"/>
  <c r="M11" i="159"/>
  <c r="K11" i="159"/>
  <c r="I11" i="159"/>
  <c r="F10" i="159"/>
  <c r="E10" i="159"/>
  <c r="Y9" i="159"/>
  <c r="Q9" i="159"/>
  <c r="O9" i="159"/>
  <c r="Z9" i="159"/>
  <c r="M9" i="159"/>
  <c r="K9" i="159"/>
  <c r="K10" i="159"/>
  <c r="I9" i="159"/>
  <c r="Y8" i="159"/>
  <c r="Q8" i="159"/>
  <c r="O8" i="159"/>
  <c r="M8" i="159"/>
  <c r="K8" i="159"/>
  <c r="I8" i="159"/>
  <c r="Z8" i="159"/>
  <c r="G8" i="159"/>
  <c r="Y7" i="159"/>
  <c r="Q7" i="159"/>
  <c r="O7" i="159"/>
  <c r="M7" i="159"/>
  <c r="M10" i="159"/>
  <c r="K7" i="159"/>
  <c r="I7" i="159"/>
  <c r="Y6" i="159"/>
  <c r="AD6" i="159"/>
  <c r="Q6" i="159"/>
  <c r="Q10" i="159"/>
  <c r="O6" i="159"/>
  <c r="M6" i="159"/>
  <c r="K6" i="159"/>
  <c r="I6" i="159"/>
  <c r="Y41" i="139"/>
  <c r="W41" i="139"/>
  <c r="U41" i="139"/>
  <c r="U30" i="174"/>
  <c r="U41" i="174"/>
  <c r="U42" i="174"/>
  <c r="U30" i="175"/>
  <c r="U41" i="175"/>
  <c r="U42" i="175"/>
  <c r="U30" i="176"/>
  <c r="U41" i="176"/>
  <c r="U42" i="176"/>
  <c r="U30" i="177"/>
  <c r="U41" i="177"/>
  <c r="U42" i="177"/>
  <c r="U30" i="178"/>
  <c r="U41" i="178"/>
  <c r="U42" i="178"/>
  <c r="U30" i="179"/>
  <c r="U41" i="179"/>
  <c r="U42" i="179"/>
  <c r="U30" i="180"/>
  <c r="U41" i="180"/>
  <c r="U42" i="180"/>
  <c r="U30" i="181"/>
  <c r="U41" i="181"/>
  <c r="U42" i="181"/>
  <c r="U30" i="182"/>
  <c r="U41" i="182"/>
  <c r="U42" i="182"/>
  <c r="U30" i="183"/>
  <c r="U41" i="183"/>
  <c r="U42" i="183"/>
  <c r="U30" i="184"/>
  <c r="U41" i="184"/>
  <c r="U42" i="184"/>
  <c r="U30" i="185"/>
  <c r="U41" i="185"/>
  <c r="U42" i="185"/>
  <c r="U30" i="186"/>
  <c r="U41" i="186"/>
  <c r="U42" i="186"/>
  <c r="U30" i="166"/>
  <c r="U41" i="166"/>
  <c r="U42" i="166"/>
  <c r="U30" i="167"/>
  <c r="U41" i="167"/>
  <c r="U42" i="167"/>
  <c r="U30" i="168"/>
  <c r="U41" i="168"/>
  <c r="U42" i="168"/>
  <c r="U30" i="169"/>
  <c r="U41" i="169"/>
  <c r="U42" i="169"/>
  <c r="U30" i="170"/>
  <c r="U41" i="170"/>
  <c r="U42" i="170"/>
  <c r="U30" i="171"/>
  <c r="U41" i="171"/>
  <c r="U42" i="171"/>
  <c r="U30" i="172"/>
  <c r="U41" i="172"/>
  <c r="U42" i="172"/>
  <c r="U30" i="173"/>
  <c r="U41" i="173"/>
  <c r="U42" i="173"/>
  <c r="U30" i="162"/>
  <c r="U41" i="162"/>
  <c r="U42" i="162"/>
  <c r="U30" i="163"/>
  <c r="U41" i="163"/>
  <c r="U42" i="163"/>
  <c r="U30" i="164"/>
  <c r="U41" i="164"/>
  <c r="U42" i="164"/>
  <c r="U30" i="165"/>
  <c r="U41" i="165"/>
  <c r="U42" i="165"/>
  <c r="U30" i="160"/>
  <c r="U41" i="160"/>
  <c r="U42" i="160"/>
  <c r="U30" i="161"/>
  <c r="U41" i="161"/>
  <c r="U42" i="161"/>
  <c r="U30" i="159"/>
  <c r="U41" i="159"/>
  <c r="U42" i="159"/>
  <c r="U30" i="187"/>
  <c r="U41" i="187"/>
  <c r="U42" i="187"/>
  <c r="U30" i="189"/>
  <c r="U41" i="189"/>
  <c r="S41" i="139"/>
  <c r="Q41" i="139"/>
  <c r="O41" i="139"/>
  <c r="M41" i="139"/>
  <c r="M42" i="139"/>
  <c r="M30" i="174"/>
  <c r="M41" i="174"/>
  <c r="M42" i="174"/>
  <c r="M30" i="175"/>
  <c r="M41" i="175"/>
  <c r="M42" i="175"/>
  <c r="M30" i="176"/>
  <c r="M41" i="176"/>
  <c r="M42" i="176"/>
  <c r="M30" i="177"/>
  <c r="M41" i="177"/>
  <c r="M42" i="177"/>
  <c r="M30" i="178"/>
  <c r="M41" i="178"/>
  <c r="M42" i="178"/>
  <c r="M30" i="179"/>
  <c r="M41" i="179"/>
  <c r="M42" i="179"/>
  <c r="M30" i="180"/>
  <c r="M41" i="180"/>
  <c r="M42" i="180"/>
  <c r="M30" i="181"/>
  <c r="M41" i="181"/>
  <c r="M42" i="181"/>
  <c r="M30" i="182"/>
  <c r="M41" i="182"/>
  <c r="M42" i="182"/>
  <c r="M30" i="183"/>
  <c r="M41" i="183"/>
  <c r="M42" i="183"/>
  <c r="M30" i="184"/>
  <c r="M41" i="184"/>
  <c r="M42" i="184"/>
  <c r="M30" i="185"/>
  <c r="M41" i="185"/>
  <c r="M42" i="185"/>
  <c r="M30" i="186"/>
  <c r="M41" i="186"/>
  <c r="M42" i="186"/>
  <c r="M30" i="166"/>
  <c r="M41" i="166"/>
  <c r="M42" i="166"/>
  <c r="M30" i="167"/>
  <c r="M41" i="167"/>
  <c r="M42" i="167"/>
  <c r="M30" i="168"/>
  <c r="M41" i="168"/>
  <c r="M42" i="168"/>
  <c r="M30" i="169"/>
  <c r="M41" i="169"/>
  <c r="K41" i="139"/>
  <c r="K42" i="139"/>
  <c r="K30" i="174"/>
  <c r="K41" i="174"/>
  <c r="K42" i="174"/>
  <c r="K30" i="175"/>
  <c r="K41" i="175"/>
  <c r="K42" i="175"/>
  <c r="K30" i="176"/>
  <c r="K41" i="176"/>
  <c r="I41" i="139"/>
  <c r="Y40" i="139"/>
  <c r="W40" i="139"/>
  <c r="W42" i="139"/>
  <c r="W30" i="174"/>
  <c r="W41" i="174"/>
  <c r="W42" i="174"/>
  <c r="W30" i="175"/>
  <c r="W41" i="175"/>
  <c r="W42" i="175"/>
  <c r="W30" i="176"/>
  <c r="W41" i="176"/>
  <c r="W42" i="176"/>
  <c r="W30" i="177"/>
  <c r="W41" i="177"/>
  <c r="W42" i="177"/>
  <c r="W30" i="178"/>
  <c r="W41" i="178"/>
  <c r="W42" i="178"/>
  <c r="W30" i="179"/>
  <c r="W41" i="179"/>
  <c r="U40" i="139"/>
  <c r="U42" i="139"/>
  <c r="S40" i="139"/>
  <c r="Q40" i="139"/>
  <c r="Q42" i="139"/>
  <c r="Q30" i="174"/>
  <c r="Q41" i="174"/>
  <c r="Q42" i="174"/>
  <c r="Q30" i="175"/>
  <c r="Q41" i="175"/>
  <c r="Q42" i="175"/>
  <c r="Q30" i="176"/>
  <c r="Q41" i="176"/>
  <c r="O40" i="139"/>
  <c r="O42" i="139"/>
  <c r="O30" i="174"/>
  <c r="O41" i="174"/>
  <c r="O42" i="174"/>
  <c r="O30" i="175"/>
  <c r="O41" i="175"/>
  <c r="O42" i="175"/>
  <c r="O30" i="176"/>
  <c r="O41" i="176"/>
  <c r="O42" i="176"/>
  <c r="O30" i="177"/>
  <c r="O41" i="177"/>
  <c r="O42" i="177"/>
  <c r="O30" i="178"/>
  <c r="O41" i="178"/>
  <c r="O42" i="178"/>
  <c r="O30" i="179"/>
  <c r="O41" i="179"/>
  <c r="O42" i="179"/>
  <c r="O30" i="180"/>
  <c r="O41" i="180"/>
  <c r="O42" i="180"/>
  <c r="O30" i="181"/>
  <c r="O41" i="181"/>
  <c r="O42" i="181"/>
  <c r="O30" i="182"/>
  <c r="O41" i="182"/>
  <c r="O42" i="182"/>
  <c r="O30" i="183"/>
  <c r="O41" i="183"/>
  <c r="O42" i="183"/>
  <c r="O30" i="184"/>
  <c r="O41" i="184"/>
  <c r="O42" i="184"/>
  <c r="O30" i="185"/>
  <c r="O41" i="185"/>
  <c r="O42" i="185"/>
  <c r="O30" i="186"/>
  <c r="O41" i="186"/>
  <c r="O42" i="186"/>
  <c r="O30" i="166"/>
  <c r="O41" i="166"/>
  <c r="O42" i="166"/>
  <c r="O30" i="167"/>
  <c r="O41" i="167"/>
  <c r="O42" i="167"/>
  <c r="O30" i="168"/>
  <c r="O41" i="168"/>
  <c r="O42" i="168"/>
  <c r="O30" i="169"/>
  <c r="O41" i="169"/>
  <c r="O42" i="169"/>
  <c r="O30" i="170"/>
  <c r="O41" i="170"/>
  <c r="O42" i="170"/>
  <c r="O30" i="171"/>
  <c r="O41" i="171"/>
  <c r="O42" i="171"/>
  <c r="O30" i="172"/>
  <c r="O41" i="172"/>
  <c r="O42" i="172"/>
  <c r="O30" i="173"/>
  <c r="O41" i="173"/>
  <c r="O42" i="173"/>
  <c r="O30" i="162"/>
  <c r="O41" i="162"/>
  <c r="O42" i="162"/>
  <c r="O30" i="163"/>
  <c r="O41" i="163"/>
  <c r="O42" i="163"/>
  <c r="O30" i="164"/>
  <c r="O41" i="164"/>
  <c r="O42" i="164"/>
  <c r="O30" i="165"/>
  <c r="O41" i="165"/>
  <c r="O42" i="165"/>
  <c r="O30" i="160"/>
  <c r="O41" i="160"/>
  <c r="O42" i="160"/>
  <c r="O30" i="161"/>
  <c r="O41" i="161"/>
  <c r="O42" i="161"/>
  <c r="O30" i="159"/>
  <c r="O41" i="159"/>
  <c r="O42" i="159"/>
  <c r="O30" i="187"/>
  <c r="O41" i="187"/>
  <c r="O42" i="187"/>
  <c r="O30" i="189"/>
  <c r="O41" i="189"/>
  <c r="O42" i="189"/>
  <c r="M40" i="139"/>
  <c r="K40" i="139"/>
  <c r="I40" i="139"/>
  <c r="G40" i="139"/>
  <c r="X16" i="139"/>
  <c r="V16" i="139"/>
  <c r="T16" i="139"/>
  <c r="R16" i="139"/>
  <c r="P16" i="139"/>
  <c r="N16" i="139"/>
  <c r="L16" i="139"/>
  <c r="J16" i="139"/>
  <c r="H16" i="139"/>
  <c r="F15" i="139"/>
  <c r="F16" i="139"/>
  <c r="E15" i="139"/>
  <c r="E16" i="139"/>
  <c r="Y14" i="139"/>
  <c r="W14" i="139"/>
  <c r="U14" i="139"/>
  <c r="S14" i="139"/>
  <c r="AD14" i="139"/>
  <c r="Q14" i="139"/>
  <c r="O14" i="139"/>
  <c r="M14" i="139"/>
  <c r="K14" i="139"/>
  <c r="I14" i="139"/>
  <c r="Z14" i="139"/>
  <c r="Y13" i="139"/>
  <c r="AD13" i="139"/>
  <c r="W13" i="139"/>
  <c r="W15" i="139"/>
  <c r="U13" i="139"/>
  <c r="S13" i="139"/>
  <c r="Q13" i="139"/>
  <c r="O13" i="139"/>
  <c r="O15" i="139"/>
  <c r="O16" i="139"/>
  <c r="M13" i="139"/>
  <c r="K13" i="139"/>
  <c r="I13" i="139"/>
  <c r="Z13" i="139"/>
  <c r="Y12" i="139"/>
  <c r="W12" i="139"/>
  <c r="U12" i="139"/>
  <c r="S12" i="139"/>
  <c r="Q12" i="139"/>
  <c r="O12" i="139"/>
  <c r="M12" i="139"/>
  <c r="AD12" i="139"/>
  <c r="K12" i="139"/>
  <c r="AB12" i="139"/>
  <c r="I12" i="139"/>
  <c r="Y11" i="139"/>
  <c r="W11" i="139"/>
  <c r="U11" i="139"/>
  <c r="S11" i="139"/>
  <c r="S15" i="139"/>
  <c r="S16" i="139"/>
  <c r="Q11" i="139"/>
  <c r="O11" i="139"/>
  <c r="M11" i="139"/>
  <c r="K11" i="139"/>
  <c r="I11" i="139"/>
  <c r="F10" i="139"/>
  <c r="E10" i="139"/>
  <c r="Y9" i="139"/>
  <c r="Q9" i="139"/>
  <c r="O9" i="139"/>
  <c r="Z9" i="139"/>
  <c r="M9" i="139"/>
  <c r="AD9" i="139"/>
  <c r="K9" i="139"/>
  <c r="AB9" i="139"/>
  <c r="I9" i="139"/>
  <c r="Y8" i="139"/>
  <c r="Q8" i="139"/>
  <c r="AB8" i="139"/>
  <c r="O8" i="139"/>
  <c r="M8" i="139"/>
  <c r="AD8" i="139"/>
  <c r="K8" i="139"/>
  <c r="I8" i="139"/>
  <c r="Z8" i="139"/>
  <c r="G8" i="139"/>
  <c r="Y7" i="139"/>
  <c r="Q7" i="139"/>
  <c r="O7" i="139"/>
  <c r="M7" i="139"/>
  <c r="AD7" i="139"/>
  <c r="K7" i="139"/>
  <c r="I7" i="139"/>
  <c r="Z7" i="139"/>
  <c r="Y6" i="139"/>
  <c r="W6" i="139"/>
  <c r="U6" i="139"/>
  <c r="S6" i="139"/>
  <c r="S10" i="139"/>
  <c r="Q6" i="139"/>
  <c r="O6" i="139"/>
  <c r="O10" i="139"/>
  <c r="M6" i="139"/>
  <c r="K6" i="139"/>
  <c r="I6" i="139"/>
  <c r="AB14" i="176"/>
  <c r="K15" i="178"/>
  <c r="AD6" i="175"/>
  <c r="Q15" i="176"/>
  <c r="AB13" i="178"/>
  <c r="Z8" i="180"/>
  <c r="I15" i="176"/>
  <c r="Z9" i="177"/>
  <c r="W15" i="177"/>
  <c r="Z11" i="178"/>
  <c r="AB6" i="179"/>
  <c r="Q16" i="179"/>
  <c r="AB7" i="179"/>
  <c r="Q15" i="175"/>
  <c r="Z11" i="175"/>
  <c r="AB13" i="177"/>
  <c r="AD11" i="178"/>
  <c r="Q15" i="179"/>
  <c r="Y10" i="176"/>
  <c r="W15" i="176"/>
  <c r="W16" i="176"/>
  <c r="AB7" i="178"/>
  <c r="I10" i="180"/>
  <c r="Y10" i="180"/>
  <c r="Y16" i="180"/>
  <c r="Q15" i="177"/>
  <c r="Z6" i="175"/>
  <c r="AD11" i="177"/>
  <c r="AD6" i="176"/>
  <c r="F16" i="180"/>
  <c r="AB11" i="184"/>
  <c r="F16" i="186"/>
  <c r="I10" i="181"/>
  <c r="I16" i="181"/>
  <c r="Z6" i="181"/>
  <c r="G6" i="181"/>
  <c r="AB11" i="181"/>
  <c r="Y10" i="184"/>
  <c r="M10" i="186"/>
  <c r="M16" i="186"/>
  <c r="AD6" i="181"/>
  <c r="AD10" i="181"/>
  <c r="M10" i="181"/>
  <c r="AD11" i="181"/>
  <c r="M15" i="181"/>
  <c r="M16" i="181"/>
  <c r="I10" i="182"/>
  <c r="Y10" i="183"/>
  <c r="AD9" i="184"/>
  <c r="G9" i="184"/>
  <c r="AB12" i="184"/>
  <c r="AD6" i="185"/>
  <c r="M10" i="185"/>
  <c r="O10" i="181"/>
  <c r="F16" i="181"/>
  <c r="F16" i="182"/>
  <c r="AB6" i="183"/>
  <c r="AD9" i="183"/>
  <c r="AB12" i="183"/>
  <c r="AD6" i="184"/>
  <c r="M10" i="184"/>
  <c r="AD9" i="186"/>
  <c r="W15" i="186"/>
  <c r="AB13" i="186"/>
  <c r="AD6" i="182"/>
  <c r="M10" i="182"/>
  <c r="AD6" i="183"/>
  <c r="Z6" i="182"/>
  <c r="M15" i="182"/>
  <c r="M16" i="182"/>
  <c r="Z6" i="183"/>
  <c r="Z6" i="186"/>
  <c r="G6" i="186"/>
  <c r="M15" i="186"/>
  <c r="W10" i="166"/>
  <c r="S10" i="170"/>
  <c r="F16" i="173"/>
  <c r="AB6" i="167"/>
  <c r="Q15" i="168"/>
  <c r="Q16" i="168"/>
  <c r="AB7" i="169"/>
  <c r="AD11" i="170"/>
  <c r="AB6" i="171"/>
  <c r="Q10" i="167"/>
  <c r="Z6" i="173"/>
  <c r="Z6" i="170"/>
  <c r="Z8" i="171"/>
  <c r="F16" i="172"/>
  <c r="AB6" i="173"/>
  <c r="F16" i="169"/>
  <c r="Z9" i="170"/>
  <c r="AD13" i="171"/>
  <c r="AD13" i="168"/>
  <c r="M10" i="170"/>
  <c r="Y10" i="172"/>
  <c r="Y16" i="172"/>
  <c r="AD9" i="172"/>
  <c r="G9" i="172"/>
  <c r="AD6" i="170"/>
  <c r="AD6" i="172"/>
  <c r="Z11" i="163"/>
  <c r="K10" i="162"/>
  <c r="K16" i="162"/>
  <c r="AB6" i="159"/>
  <c r="G6" i="159"/>
  <c r="Y15" i="139"/>
  <c r="Y16" i="139"/>
  <c r="Y10" i="139"/>
  <c r="U10" i="139"/>
  <c r="G11" i="181"/>
  <c r="AB8" i="159"/>
  <c r="AD8" i="159"/>
  <c r="AB11" i="189"/>
  <c r="AD12" i="189"/>
  <c r="Q15" i="189"/>
  <c r="Q16" i="189"/>
  <c r="AD13" i="189"/>
  <c r="AB12" i="189"/>
  <c r="U10" i="189"/>
  <c r="Z7" i="189"/>
  <c r="G7" i="189"/>
  <c r="W10" i="189"/>
  <c r="Q10" i="189"/>
  <c r="AB7" i="189"/>
  <c r="Y10" i="187"/>
  <c r="AB7" i="187"/>
  <c r="G7" i="187"/>
  <c r="W10" i="187"/>
  <c r="AB9" i="187"/>
  <c r="AD14" i="169"/>
  <c r="W15" i="169"/>
  <c r="M15" i="174"/>
  <c r="AD13" i="174"/>
  <c r="W15" i="174"/>
  <c r="K15" i="174"/>
  <c r="K16" i="174"/>
  <c r="O15" i="174"/>
  <c r="Z12" i="174"/>
  <c r="U15" i="169"/>
  <c r="Y15" i="169"/>
  <c r="AD13" i="169"/>
  <c r="AB11" i="169"/>
  <c r="AD14" i="189"/>
  <c r="Y15" i="189"/>
  <c r="S15" i="189"/>
  <c r="S16" i="189"/>
  <c r="W15" i="189"/>
  <c r="W16" i="189"/>
  <c r="M15" i="189"/>
  <c r="U10" i="174"/>
  <c r="AB7" i="174"/>
  <c r="I10" i="174"/>
  <c r="AB13" i="189"/>
  <c r="S10" i="189"/>
  <c r="Z11" i="189"/>
  <c r="G11" i="189"/>
  <c r="Z6" i="189"/>
  <c r="Q10" i="168"/>
  <c r="Y10" i="168"/>
  <c r="S10" i="187"/>
  <c r="AD7" i="187"/>
  <c r="AB7" i="167"/>
  <c r="U10" i="167"/>
  <c r="W16" i="167"/>
  <c r="Z7" i="167"/>
  <c r="AB7" i="180"/>
  <c r="AB10" i="180"/>
  <c r="G9" i="180"/>
  <c r="W10" i="159"/>
  <c r="AB7" i="171"/>
  <c r="W10" i="186"/>
  <c r="AB7" i="183"/>
  <c r="AB10" i="183"/>
  <c r="AB9" i="165"/>
  <c r="U10" i="177"/>
  <c r="U10" i="162"/>
  <c r="U10" i="171"/>
  <c r="U10" i="180"/>
  <c r="U16" i="180"/>
  <c r="Z6" i="165"/>
  <c r="Z6" i="168"/>
  <c r="S10" i="159"/>
  <c r="S16" i="159"/>
  <c r="S10" i="165"/>
  <c r="AD6" i="165"/>
  <c r="AD6" i="171"/>
  <c r="S10" i="168"/>
  <c r="AD6" i="168"/>
  <c r="S10" i="186"/>
  <c r="S10" i="183"/>
  <c r="AD6" i="180"/>
  <c r="S10" i="180"/>
  <c r="S16" i="180"/>
  <c r="S10" i="177"/>
  <c r="S16" i="177"/>
  <c r="AD6" i="177"/>
  <c r="S10" i="162"/>
  <c r="O10" i="165"/>
  <c r="AB6" i="161"/>
  <c r="G6" i="161"/>
  <c r="Z7" i="184"/>
  <c r="AB12" i="186"/>
  <c r="G12" i="186"/>
  <c r="AB15" i="186"/>
  <c r="K15" i="186"/>
  <c r="Z9" i="176"/>
  <c r="AD8" i="186"/>
  <c r="Y10" i="186"/>
  <c r="Y16" i="186"/>
  <c r="I15" i="160"/>
  <c r="AB12" i="160"/>
  <c r="Z6" i="171"/>
  <c r="I10" i="171"/>
  <c r="Q10" i="162"/>
  <c r="S15" i="181"/>
  <c r="S16" i="181"/>
  <c r="AD12" i="181"/>
  <c r="AD15" i="181"/>
  <c r="AD16" i="181"/>
  <c r="AD6" i="162"/>
  <c r="M10" i="162"/>
  <c r="Z14" i="167"/>
  <c r="AD14" i="183"/>
  <c r="M15" i="183"/>
  <c r="S15" i="163"/>
  <c r="S16" i="163"/>
  <c r="AB7" i="164"/>
  <c r="Y15" i="164"/>
  <c r="AB14" i="182"/>
  <c r="Z12" i="162"/>
  <c r="AB12" i="167"/>
  <c r="AB8" i="172"/>
  <c r="Q10" i="172"/>
  <c r="M10" i="180"/>
  <c r="AD8" i="180"/>
  <c r="AD13" i="180"/>
  <c r="G13" i="180"/>
  <c r="W15" i="182"/>
  <c r="W16" i="182"/>
  <c r="AB11" i="182"/>
  <c r="Z9" i="185"/>
  <c r="AD11" i="160"/>
  <c r="AB11" i="164"/>
  <c r="AD14" i="164"/>
  <c r="Q10" i="170"/>
  <c r="AB7" i="172"/>
  <c r="K10" i="172"/>
  <c r="O10" i="179"/>
  <c r="O16" i="179"/>
  <c r="Z11" i="160"/>
  <c r="W15" i="161"/>
  <c r="W16" i="161"/>
  <c r="K15" i="162"/>
  <c r="AB11" i="162"/>
  <c r="AB6" i="166"/>
  <c r="U16" i="178"/>
  <c r="AD9" i="179"/>
  <c r="S10" i="179"/>
  <c r="M10" i="164"/>
  <c r="AD14" i="179"/>
  <c r="AD7" i="184"/>
  <c r="AD10" i="184"/>
  <c r="S10" i="184"/>
  <c r="Z11" i="164"/>
  <c r="Z11" i="165"/>
  <c r="AD7" i="162"/>
  <c r="O15" i="162"/>
  <c r="Z6" i="169"/>
  <c r="AD9" i="171"/>
  <c r="M10" i="171"/>
  <c r="Z8" i="175"/>
  <c r="AB7" i="177"/>
  <c r="K10" i="177"/>
  <c r="K16" i="177"/>
  <c r="Y15" i="161"/>
  <c r="Y16" i="161"/>
  <c r="AB9" i="162"/>
  <c r="AB11" i="163"/>
  <c r="AD12" i="163"/>
  <c r="AB6" i="169"/>
  <c r="K10" i="184"/>
  <c r="AB9" i="184"/>
  <c r="AB10" i="184"/>
  <c r="O10" i="170"/>
  <c r="AB12" i="173"/>
  <c r="Y10" i="177"/>
  <c r="Z11" i="179"/>
  <c r="AB6" i="181"/>
  <c r="Q10" i="181"/>
  <c r="Q16" i="181"/>
  <c r="Z11" i="185"/>
  <c r="AD11" i="164"/>
  <c r="AD13" i="165"/>
  <c r="Z12" i="170"/>
  <c r="W15" i="171"/>
  <c r="Z13" i="171"/>
  <c r="AD7" i="177"/>
  <c r="G7" i="177"/>
  <c r="AB8" i="178"/>
  <c r="W15" i="178"/>
  <c r="W16" i="178"/>
  <c r="Z9" i="179"/>
  <c r="Z13" i="180"/>
  <c r="Z14" i="184"/>
  <c r="AB9" i="186"/>
  <c r="AD11" i="186"/>
  <c r="K10" i="175"/>
  <c r="AB6" i="175"/>
  <c r="AB10" i="175"/>
  <c r="I15" i="175"/>
  <c r="K10" i="179"/>
  <c r="AD12" i="170"/>
  <c r="Z12" i="171"/>
  <c r="O15" i="172"/>
  <c r="Z6" i="174"/>
  <c r="I15" i="181"/>
  <c r="AB11" i="170"/>
  <c r="Y10" i="174"/>
  <c r="Y15" i="181"/>
  <c r="U10" i="176"/>
  <c r="U16" i="176"/>
  <c r="Z7" i="176"/>
  <c r="AB11" i="166"/>
  <c r="AD12" i="169"/>
  <c r="AD15" i="169"/>
  <c r="AB13" i="175"/>
  <c r="AB15" i="175"/>
  <c r="O15" i="182"/>
  <c r="Z11" i="182"/>
  <c r="AD11" i="166"/>
  <c r="U15" i="168"/>
  <c r="AB11" i="171"/>
  <c r="Z8" i="172"/>
  <c r="Y10" i="173"/>
  <c r="W15" i="173"/>
  <c r="W16" i="173"/>
  <c r="M10" i="175"/>
  <c r="AD9" i="175"/>
  <c r="AD11" i="175"/>
  <c r="Y16" i="178"/>
  <c r="Z13" i="178"/>
  <c r="Q15" i="182"/>
  <c r="AD11" i="183"/>
  <c r="S15" i="186"/>
  <c r="S16" i="186"/>
  <c r="U15" i="187"/>
  <c r="Z6" i="162"/>
  <c r="O15" i="166"/>
  <c r="O16" i="166"/>
  <c r="S15" i="177"/>
  <c r="Z12" i="178"/>
  <c r="AB8" i="185"/>
  <c r="AB7" i="159"/>
  <c r="Z14" i="168"/>
  <c r="G14" i="168"/>
  <c r="Z6" i="180"/>
  <c r="AB9" i="181"/>
  <c r="AB10" i="181"/>
  <c r="G9" i="181"/>
  <c r="AD11" i="182"/>
  <c r="AD7" i="159"/>
  <c r="Q15" i="166"/>
  <c r="Y15" i="168"/>
  <c r="Y16" i="168"/>
  <c r="AB11" i="173"/>
  <c r="Z12" i="173"/>
  <c r="K10" i="180"/>
  <c r="S15" i="183"/>
  <c r="S16" i="183"/>
  <c r="Y15" i="185"/>
  <c r="Z12" i="187"/>
  <c r="U10" i="168"/>
  <c r="Z9" i="184"/>
  <c r="U10" i="184"/>
  <c r="I15" i="184"/>
  <c r="Q15" i="187"/>
  <c r="Q16" i="187"/>
  <c r="I15" i="187"/>
  <c r="Z11" i="186"/>
  <c r="U15" i="139"/>
  <c r="U16" i="139"/>
  <c r="Q10" i="139"/>
  <c r="G7" i="184"/>
  <c r="G6" i="165"/>
  <c r="Z15" i="179"/>
  <c r="Z16" i="179"/>
  <c r="AB14" i="170"/>
  <c r="G14" i="170"/>
  <c r="G8" i="180"/>
  <c r="AD10" i="180"/>
  <c r="AB6" i="164"/>
  <c r="AD6" i="160"/>
  <c r="O10" i="161"/>
  <c r="AB12" i="161"/>
  <c r="AB15" i="161"/>
  <c r="K15" i="161"/>
  <c r="W16" i="186"/>
  <c r="AB6" i="168"/>
  <c r="G6" i="168"/>
  <c r="M10" i="183"/>
  <c r="M16" i="183"/>
  <c r="AD8" i="183"/>
  <c r="K10" i="187"/>
  <c r="K16" i="187"/>
  <c r="AB6" i="187"/>
  <c r="AB10" i="187"/>
  <c r="U10" i="169"/>
  <c r="U16" i="169"/>
  <c r="K15" i="168"/>
  <c r="AB12" i="168"/>
  <c r="O10" i="166"/>
  <c r="Z11" i="168"/>
  <c r="AD7" i="169"/>
  <c r="AD11" i="171"/>
  <c r="AD15" i="171"/>
  <c r="S15" i="171"/>
  <c r="S16" i="171"/>
  <c r="Q10" i="173"/>
  <c r="G12" i="177"/>
  <c r="AB6" i="182"/>
  <c r="G6" i="182"/>
  <c r="U10" i="159"/>
  <c r="Q10" i="165"/>
  <c r="AD11" i="169"/>
  <c r="M15" i="169"/>
  <c r="I10" i="177"/>
  <c r="Z8" i="177"/>
  <c r="AD13" i="178"/>
  <c r="I15" i="179"/>
  <c r="Z14" i="183"/>
  <c r="Q10" i="186"/>
  <c r="S10" i="182"/>
  <c r="AD9" i="182"/>
  <c r="AB11" i="159"/>
  <c r="I15" i="167"/>
  <c r="Z7" i="168"/>
  <c r="O15" i="170"/>
  <c r="I10" i="184"/>
  <c r="I16" i="184"/>
  <c r="Z8" i="184"/>
  <c r="Q10" i="185"/>
  <c r="M15" i="159"/>
  <c r="M16" i="159"/>
  <c r="AD11" i="159"/>
  <c r="AB12" i="166"/>
  <c r="M10" i="177"/>
  <c r="S10" i="172"/>
  <c r="AD7" i="166"/>
  <c r="G7" i="166"/>
  <c r="S10" i="166"/>
  <c r="S16" i="166"/>
  <c r="K15" i="165"/>
  <c r="Q10" i="175"/>
  <c r="Q16" i="175"/>
  <c r="W16" i="179"/>
  <c r="W16" i="183"/>
  <c r="M15" i="184"/>
  <c r="M16" i="184"/>
  <c r="AD13" i="184"/>
  <c r="AD9" i="187"/>
  <c r="M10" i="187"/>
  <c r="Z9" i="189"/>
  <c r="Z14" i="189"/>
  <c r="I15" i="189"/>
  <c r="AD7" i="178"/>
  <c r="Q15" i="159"/>
  <c r="S16" i="164"/>
  <c r="AB8" i="174"/>
  <c r="I10" i="179"/>
  <c r="Q16" i="186"/>
  <c r="Z8" i="179"/>
  <c r="U10" i="179"/>
  <c r="U16" i="179"/>
  <c r="AD12" i="162"/>
  <c r="AB14" i="169"/>
  <c r="AD9" i="170"/>
  <c r="Q16" i="173"/>
  <c r="G7" i="181"/>
  <c r="AB7" i="182"/>
  <c r="S16" i="185"/>
  <c r="Z9" i="182"/>
  <c r="G9" i="182"/>
  <c r="U10" i="182"/>
  <c r="U16" i="182"/>
  <c r="Z11" i="161"/>
  <c r="G11" i="161"/>
  <c r="Q10" i="163"/>
  <c r="Q16" i="163"/>
  <c r="Z6" i="166"/>
  <c r="Z11" i="159"/>
  <c r="K10" i="183"/>
  <c r="W15" i="168"/>
  <c r="W16" i="168"/>
  <c r="Z10" i="179"/>
  <c r="G7" i="178"/>
  <c r="G12" i="168"/>
  <c r="Y10" i="185"/>
  <c r="Y16" i="185"/>
  <c r="I15" i="185"/>
  <c r="I16" i="185"/>
  <c r="Z13" i="186"/>
  <c r="O15" i="167"/>
  <c r="W10" i="169"/>
  <c r="W16" i="169"/>
  <c r="I10" i="172"/>
  <c r="Z13" i="164"/>
  <c r="I15" i="164"/>
  <c r="I10" i="164"/>
  <c r="I16" i="164"/>
  <c r="Z13" i="165"/>
  <c r="G13" i="165"/>
  <c r="U10" i="165"/>
  <c r="I10" i="165"/>
  <c r="Z9" i="160"/>
  <c r="O10" i="189"/>
  <c r="Z8" i="189"/>
  <c r="G8" i="189"/>
  <c r="Z9" i="187"/>
  <c r="I10" i="187"/>
  <c r="I16" i="187"/>
  <c r="U15" i="159"/>
  <c r="U16" i="159"/>
  <c r="O10" i="159"/>
  <c r="O15" i="161"/>
  <c r="O16" i="161"/>
  <c r="I15" i="161"/>
  <c r="U42" i="189"/>
  <c r="U15" i="165"/>
  <c r="U10" i="164"/>
  <c r="Z8" i="163"/>
  <c r="I15" i="163"/>
  <c r="I10" i="163"/>
  <c r="I10" i="162"/>
  <c r="Z8" i="162"/>
  <c r="U15" i="173"/>
  <c r="Z8" i="173"/>
  <c r="G8" i="173"/>
  <c r="I10" i="173"/>
  <c r="Z10" i="172"/>
  <c r="U10" i="172"/>
  <c r="O10" i="172"/>
  <c r="O16" i="172"/>
  <c r="AB9" i="171"/>
  <c r="Z9" i="171"/>
  <c r="G9" i="171"/>
  <c r="Z10" i="170"/>
  <c r="Q16" i="169"/>
  <c r="Z13" i="169"/>
  <c r="M42" i="169"/>
  <c r="M30" i="170"/>
  <c r="M41" i="170"/>
  <c r="M42" i="170"/>
  <c r="M30" i="171"/>
  <c r="M41" i="171"/>
  <c r="M42" i="171"/>
  <c r="M30" i="172"/>
  <c r="M41" i="172"/>
  <c r="M42" i="172"/>
  <c r="M30" i="173"/>
  <c r="M41" i="173"/>
  <c r="M42" i="173"/>
  <c r="M30" i="162"/>
  <c r="M41" i="162"/>
  <c r="M42" i="162"/>
  <c r="M30" i="163"/>
  <c r="M41" i="163"/>
  <c r="M42" i="163"/>
  <c r="M30" i="164"/>
  <c r="M41" i="164"/>
  <c r="M42" i="164"/>
  <c r="M30" i="165"/>
  <c r="M41" i="165"/>
  <c r="M42" i="165"/>
  <c r="M30" i="160"/>
  <c r="M41" i="160"/>
  <c r="M42" i="160"/>
  <c r="M30" i="161"/>
  <c r="M41" i="161"/>
  <c r="M42" i="161"/>
  <c r="M30" i="159"/>
  <c r="M41" i="159"/>
  <c r="M42" i="159"/>
  <c r="M30" i="187"/>
  <c r="M41" i="187"/>
  <c r="M42" i="187"/>
  <c r="M30" i="189"/>
  <c r="M41" i="189"/>
  <c r="M42" i="189"/>
  <c r="Z8" i="167"/>
  <c r="I10" i="167"/>
  <c r="I16" i="167"/>
  <c r="W16" i="166"/>
  <c r="Z13" i="166"/>
  <c r="Z9" i="166"/>
  <c r="G9" i="166"/>
  <c r="U10" i="186"/>
  <c r="Z13" i="185"/>
  <c r="I10" i="185"/>
  <c r="Z7" i="160"/>
  <c r="O10" i="160"/>
  <c r="G9" i="163"/>
  <c r="G6" i="171"/>
  <c r="Z11" i="139"/>
  <c r="AD10" i="183"/>
  <c r="Z15" i="178"/>
  <c r="Z6" i="139"/>
  <c r="Z10" i="139"/>
  <c r="O10" i="168"/>
  <c r="G9" i="187"/>
  <c r="AD10" i="187"/>
  <c r="G12" i="173"/>
  <c r="Z9" i="161"/>
  <c r="G7" i="183"/>
  <c r="I15" i="159"/>
  <c r="Z14" i="159"/>
  <c r="Q15" i="185"/>
  <c r="Q16" i="185"/>
  <c r="AB11" i="185"/>
  <c r="W10" i="164"/>
  <c r="W16" i="164"/>
  <c r="AB8" i="164"/>
  <c r="W10" i="170"/>
  <c r="AB7" i="170"/>
  <c r="G14" i="169"/>
  <c r="Y10" i="163"/>
  <c r="AD6" i="163"/>
  <c r="AB9" i="163"/>
  <c r="K10" i="163"/>
  <c r="Q10" i="176"/>
  <c r="AB6" i="176"/>
  <c r="Q16" i="167"/>
  <c r="Q16" i="176"/>
  <c r="AD10" i="186"/>
  <c r="AB14" i="139"/>
  <c r="G14" i="139"/>
  <c r="K15" i="163"/>
  <c r="AB12" i="163"/>
  <c r="S16" i="170"/>
  <c r="AD10" i="177"/>
  <c r="K15" i="139"/>
  <c r="Z12" i="161"/>
  <c r="AB13" i="183"/>
  <c r="G9" i="139"/>
  <c r="Z11" i="173"/>
  <c r="AB8" i="162"/>
  <c r="Y15" i="173"/>
  <c r="Y16" i="173"/>
  <c r="Q15" i="160"/>
  <c r="AD12" i="160"/>
  <c r="G12" i="160"/>
  <c r="Y15" i="183"/>
  <c r="Y16" i="183"/>
  <c r="AB13" i="161"/>
  <c r="O15" i="165"/>
  <c r="O16" i="165"/>
  <c r="Q10" i="182"/>
  <c r="Q16" i="182"/>
  <c r="G6" i="184"/>
  <c r="S42" i="139"/>
  <c r="S30" i="174"/>
  <c r="S41" i="174"/>
  <c r="S42" i="174"/>
  <c r="S30" i="175"/>
  <c r="S41" i="175"/>
  <c r="S42" i="175"/>
  <c r="S30" i="176"/>
  <c r="S41" i="176"/>
  <c r="S42" i="176"/>
  <c r="S30" i="177"/>
  <c r="S41" i="177"/>
  <c r="S42" i="177"/>
  <c r="S30" i="178"/>
  <c r="S41" i="178"/>
  <c r="S42" i="178"/>
  <c r="S30" i="179"/>
  <c r="S41" i="179"/>
  <c r="S42" i="179"/>
  <c r="S30" i="180"/>
  <c r="S41" i="180"/>
  <c r="S42" i="180"/>
  <c r="S30" i="181"/>
  <c r="S41" i="181"/>
  <c r="Y42" i="139"/>
  <c r="Y30" i="174"/>
  <c r="Y41" i="174"/>
  <c r="Y42" i="174"/>
  <c r="Y30" i="175"/>
  <c r="Y41" i="175"/>
  <c r="Y42" i="175"/>
  <c r="Y30" i="176"/>
  <c r="Y41" i="176"/>
  <c r="Y42" i="176"/>
  <c r="Y30" i="177"/>
  <c r="Y41" i="177"/>
  <c r="Y42" i="177"/>
  <c r="Y30" i="178"/>
  <c r="Y41" i="178"/>
  <c r="Y42" i="178"/>
  <c r="Y30" i="179"/>
  <c r="Y41" i="179"/>
  <c r="Y42" i="179"/>
  <c r="Y30" i="180"/>
  <c r="Y41" i="180"/>
  <c r="Y42" i="180"/>
  <c r="Y30" i="181"/>
  <c r="Y41" i="181"/>
  <c r="Y42" i="181"/>
  <c r="Y30" i="182"/>
  <c r="Y41" i="182"/>
  <c r="Y42" i="182"/>
  <c r="Y30" i="183"/>
  <c r="Y41" i="183"/>
  <c r="Y42" i="183"/>
  <c r="Y30" i="184"/>
  <c r="Y41" i="184"/>
  <c r="Y42" i="184"/>
  <c r="Y30" i="185"/>
  <c r="Y41" i="185"/>
  <c r="Y42" i="185"/>
  <c r="Y30" i="186"/>
  <c r="Y41" i="186"/>
  <c r="Y42" i="186"/>
  <c r="Y30" i="166"/>
  <c r="Y41" i="166"/>
  <c r="Y42" i="166"/>
  <c r="Y30" i="167"/>
  <c r="Y41" i="167"/>
  <c r="Y42" i="167"/>
  <c r="Y30" i="168"/>
  <c r="Y41" i="168"/>
  <c r="Y42" i="168"/>
  <c r="Y30" i="169"/>
  <c r="Y41" i="169"/>
  <c r="Y42" i="169"/>
  <c r="Y30" i="170"/>
  <c r="Y41" i="170"/>
  <c r="Y42" i="170"/>
  <c r="Y30" i="171"/>
  <c r="Y41" i="171"/>
  <c r="Y42" i="171"/>
  <c r="Y30" i="172"/>
  <c r="Y41" i="172"/>
  <c r="Y42" i="172"/>
  <c r="Y30" i="173"/>
  <c r="Y41" i="173"/>
  <c r="Y42" i="173"/>
  <c r="Y30" i="162"/>
  <c r="Y41" i="162"/>
  <c r="Y42" i="162"/>
  <c r="Y30" i="163"/>
  <c r="Y41" i="163"/>
  <c r="Y42" i="163"/>
  <c r="Y30" i="164"/>
  <c r="Y41" i="164"/>
  <c r="Y42" i="164"/>
  <c r="Y30" i="165"/>
  <c r="Z9" i="162"/>
  <c r="AB6" i="163"/>
  <c r="AB10" i="163"/>
  <c r="G12" i="159"/>
  <c r="AB7" i="160"/>
  <c r="G7" i="160"/>
  <c r="U15" i="161"/>
  <c r="W16" i="170"/>
  <c r="Y15" i="172"/>
  <c r="W16" i="175"/>
  <c r="O15" i="177"/>
  <c r="Z13" i="177"/>
  <c r="G13" i="177"/>
  <c r="Z14" i="180"/>
  <c r="U15" i="182"/>
  <c r="U15" i="183"/>
  <c r="U16" i="183"/>
  <c r="Z14" i="187"/>
  <c r="S16" i="168"/>
  <c r="AD12" i="173"/>
  <c r="Z8" i="176"/>
  <c r="G8" i="176"/>
  <c r="AD12" i="176"/>
  <c r="S15" i="176"/>
  <c r="S16" i="176"/>
  <c r="Z12" i="182"/>
  <c r="I15" i="182"/>
  <c r="I16" i="182"/>
  <c r="AB7" i="166"/>
  <c r="Q10" i="174"/>
  <c r="Z14" i="181"/>
  <c r="O15" i="181"/>
  <c r="AB12" i="182"/>
  <c r="AD13" i="185"/>
  <c r="AB14" i="185"/>
  <c r="G14" i="185"/>
  <c r="W15" i="163"/>
  <c r="W16" i="163"/>
  <c r="M15" i="166"/>
  <c r="AD12" i="167"/>
  <c r="G12" i="167"/>
  <c r="AD8" i="170"/>
  <c r="O15" i="171"/>
  <c r="O16" i="171"/>
  <c r="U15" i="177"/>
  <c r="U16" i="177"/>
  <c r="AD13" i="179"/>
  <c r="S15" i="179"/>
  <c r="S16" i="179"/>
  <c r="AB13" i="182"/>
  <c r="G42" i="139"/>
  <c r="G30" i="174"/>
  <c r="G41" i="174"/>
  <c r="G42" i="174"/>
  <c r="G30" i="175"/>
  <c r="G41" i="175"/>
  <c r="G42" i="175"/>
  <c r="G30" i="176"/>
  <c r="G41" i="176"/>
  <c r="G42" i="176"/>
  <c r="G30" i="177"/>
  <c r="G41" i="177"/>
  <c r="G42" i="177"/>
  <c r="G30" i="178"/>
  <c r="G41" i="178"/>
  <c r="M15" i="163"/>
  <c r="M16" i="163"/>
  <c r="S15" i="167"/>
  <c r="S16" i="167"/>
  <c r="AD7" i="170"/>
  <c r="AD10" i="170"/>
  <c r="AD14" i="173"/>
  <c r="Z12" i="176"/>
  <c r="AB11" i="177"/>
  <c r="AD13" i="182"/>
  <c r="AD12" i="183"/>
  <c r="O15" i="184"/>
  <c r="O16" i="184"/>
  <c r="AB7" i="185"/>
  <c r="AD8" i="185"/>
  <c r="AD10" i="185"/>
  <c r="U15" i="189"/>
  <c r="U16" i="189"/>
  <c r="AD7" i="165"/>
  <c r="U15" i="167"/>
  <c r="U16" i="167"/>
  <c r="AB9" i="169"/>
  <c r="AB8" i="170"/>
  <c r="G8" i="170"/>
  <c r="W15" i="172"/>
  <c r="W16" i="172"/>
  <c r="U15" i="175"/>
  <c r="AD13" i="175"/>
  <c r="M15" i="175"/>
  <c r="M16" i="175"/>
  <c r="Z13" i="176"/>
  <c r="G13" i="176"/>
  <c r="AD7" i="182"/>
  <c r="G7" i="182"/>
  <c r="AD10" i="182"/>
  <c r="W10" i="184"/>
  <c r="W16" i="184"/>
  <c r="Z10" i="173"/>
  <c r="AA6" i="173"/>
  <c r="AA11" i="173"/>
  <c r="Z10" i="167"/>
  <c r="AD15" i="183"/>
  <c r="AD16" i="183"/>
  <c r="G14" i="181"/>
  <c r="Z10" i="168"/>
  <c r="G9" i="162"/>
  <c r="AB15" i="177"/>
  <c r="G11" i="177"/>
  <c r="G7" i="185"/>
  <c r="K16" i="163"/>
  <c r="G14" i="180"/>
  <c r="Z15" i="173"/>
  <c r="Z16" i="173"/>
  <c r="AB10" i="164"/>
  <c r="I42" i="139"/>
  <c r="I30" i="174"/>
  <c r="I41" i="174"/>
  <c r="I42" i="174"/>
  <c r="I30" i="175"/>
  <c r="I41" i="175"/>
  <c r="I42" i="175"/>
  <c r="I30" i="176"/>
  <c r="I41" i="176"/>
  <c r="I42" i="176"/>
  <c r="I30" i="177"/>
  <c r="I41" i="177"/>
  <c r="I42" i="177"/>
  <c r="I30" i="178"/>
  <c r="I41" i="178"/>
  <c r="I42" i="178"/>
  <c r="I30" i="179"/>
  <c r="I41" i="179"/>
  <c r="I42" i="179"/>
  <c r="I30" i="180"/>
  <c r="I41" i="180"/>
  <c r="I42" i="180"/>
  <c r="I30" i="181"/>
  <c r="I41" i="181"/>
  <c r="I42" i="181"/>
  <c r="I30" i="182"/>
  <c r="I41" i="182"/>
  <c r="I42" i="182"/>
  <c r="I30" i="183"/>
  <c r="I41" i="183"/>
  <c r="I42" i="183"/>
  <c r="I30" i="184"/>
  <c r="I41" i="184"/>
  <c r="I42" i="184"/>
  <c r="I30" i="185"/>
  <c r="I41" i="185"/>
  <c r="I42" i="185"/>
  <c r="I30" i="186"/>
  <c r="I41" i="186"/>
  <c r="I42" i="186"/>
  <c r="I30" i="166"/>
  <c r="I41" i="166"/>
  <c r="I42" i="166"/>
  <c r="I30" i="167"/>
  <c r="I41" i="167"/>
  <c r="I42" i="167"/>
  <c r="I30" i="168"/>
  <c r="I41" i="168"/>
  <c r="I42" i="168"/>
  <c r="I30" i="169"/>
  <c r="I41" i="169"/>
  <c r="I42" i="169"/>
  <c r="I30" i="170"/>
  <c r="I41" i="170"/>
  <c r="I42" i="170"/>
  <c r="I30" i="171"/>
  <c r="I41" i="171"/>
  <c r="I42" i="171"/>
  <c r="I30" i="172"/>
  <c r="I41" i="172"/>
  <c r="I42" i="172"/>
  <c r="I30" i="173"/>
  <c r="I41" i="173"/>
  <c r="I42" i="173"/>
  <c r="I30" i="162"/>
  <c r="I41" i="162"/>
  <c r="I42" i="162"/>
  <c r="I30" i="163"/>
  <c r="I41" i="163"/>
  <c r="I42" i="163"/>
  <c r="I30" i="164"/>
  <c r="I41" i="164"/>
  <c r="I42" i="164"/>
  <c r="I30" i="165"/>
  <c r="I41" i="165"/>
  <c r="I42" i="165"/>
  <c r="I30" i="160"/>
  <c r="I41" i="160"/>
  <c r="I42" i="160"/>
  <c r="I30" i="161"/>
  <c r="I41" i="161"/>
  <c r="I42" i="161"/>
  <c r="I30" i="159"/>
  <c r="I41" i="159"/>
  <c r="I42" i="159"/>
  <c r="I30" i="187"/>
  <c r="I41" i="187"/>
  <c r="I42" i="187"/>
  <c r="I30" i="189"/>
  <c r="I41" i="189"/>
  <c r="I42" i="189"/>
  <c r="G13" i="175"/>
  <c r="Z15" i="181"/>
  <c r="U15" i="181"/>
  <c r="U16" i="181"/>
  <c r="Z8" i="181"/>
  <c r="G8" i="181"/>
  <c r="D15" i="188" a="1"/>
  <c r="D15" i="188"/>
  <c r="G10" i="181"/>
  <c r="O16" i="182"/>
  <c r="G13" i="183"/>
  <c r="U16" i="184"/>
  <c r="Z13" i="184"/>
  <c r="Z15" i="184"/>
  <c r="Z8" i="185"/>
  <c r="U16" i="166"/>
  <c r="Z8" i="166"/>
  <c r="Z10" i="166"/>
  <c r="Z13" i="167"/>
  <c r="Z15" i="167"/>
  <c r="Z16" i="167"/>
  <c r="AA6" i="167"/>
  <c r="AA11" i="167"/>
  <c r="O16" i="168"/>
  <c r="Z13" i="168"/>
  <c r="I16" i="169"/>
  <c r="Z8" i="169"/>
  <c r="G8" i="169"/>
  <c r="Z13" i="170"/>
  <c r="O16" i="170"/>
  <c r="I16" i="171"/>
  <c r="Y41" i="165"/>
  <c r="Y42" i="165"/>
  <c r="Y30" i="160"/>
  <c r="Y41" i="160"/>
  <c r="Y42" i="160"/>
  <c r="Y30" i="161"/>
  <c r="Y41" i="161"/>
  <c r="Y42" i="161"/>
  <c r="Y30" i="159"/>
  <c r="Y41" i="159"/>
  <c r="Y42" i="159"/>
  <c r="Y30" i="187"/>
  <c r="Y41" i="187"/>
  <c r="Y42" i="187"/>
  <c r="Y30" i="189"/>
  <c r="Y41" i="189"/>
  <c r="Y42" i="189"/>
  <c r="Z13" i="162"/>
  <c r="O16" i="162"/>
  <c r="Z13" i="163"/>
  <c r="U15" i="163"/>
  <c r="U16" i="163"/>
  <c r="AB13" i="165"/>
  <c r="Z10" i="165"/>
  <c r="Z15" i="160"/>
  <c r="U16" i="160"/>
  <c r="I16" i="160"/>
  <c r="Z8" i="160"/>
  <c r="G8" i="160"/>
  <c r="Z13" i="161"/>
  <c r="Z15" i="161"/>
  <c r="G13" i="161"/>
  <c r="U16" i="161"/>
  <c r="Q16" i="159"/>
  <c r="K15" i="159"/>
  <c r="K16" i="159"/>
  <c r="U16" i="187"/>
  <c r="O16" i="187"/>
  <c r="G13" i="189"/>
  <c r="I16" i="189"/>
  <c r="Z10" i="189"/>
  <c r="Z10" i="160"/>
  <c r="G12" i="182"/>
  <c r="G13" i="168"/>
  <c r="Z15" i="168"/>
  <c r="Z16" i="168"/>
  <c r="Z7" i="159"/>
  <c r="I10" i="159"/>
  <c r="I16" i="159"/>
  <c r="Z14" i="186"/>
  <c r="G14" i="186"/>
  <c r="O15" i="186"/>
  <c r="O16" i="186"/>
  <c r="W10" i="174"/>
  <c r="AB6" i="174"/>
  <c r="Z15" i="182"/>
  <c r="Z16" i="182"/>
  <c r="AD15" i="164"/>
  <c r="AD16" i="164"/>
  <c r="AD6" i="189"/>
  <c r="AD10" i="189"/>
  <c r="M10" i="189"/>
  <c r="M16" i="189"/>
  <c r="Z10" i="182"/>
  <c r="AC6" i="175"/>
  <c r="AC11" i="175"/>
  <c r="AB6" i="160"/>
  <c r="Q10" i="160"/>
  <c r="Q16" i="160"/>
  <c r="AD9" i="160"/>
  <c r="G9" i="160"/>
  <c r="M10" i="160"/>
  <c r="Z8" i="161"/>
  <c r="G8" i="161"/>
  <c r="I10" i="161"/>
  <c r="I16" i="161"/>
  <c r="Z15" i="171"/>
  <c r="G11" i="171"/>
  <c r="AD13" i="187"/>
  <c r="Y15" i="187"/>
  <c r="Y16" i="187"/>
  <c r="G12" i="189"/>
  <c r="Z15" i="189"/>
  <c r="Z16" i="189"/>
  <c r="AA6" i="189"/>
  <c r="AA11" i="189"/>
  <c r="AD15" i="159"/>
  <c r="AD16" i="159"/>
  <c r="AB10" i="167"/>
  <c r="G11" i="182"/>
  <c r="AB15" i="182"/>
  <c r="C15" i="188"/>
  <c r="S42" i="181"/>
  <c r="S30" i="182"/>
  <c r="S41" i="182"/>
  <c r="S42" i="182"/>
  <c r="S30" i="183"/>
  <c r="S41" i="183"/>
  <c r="S42" i="183"/>
  <c r="S30" i="184"/>
  <c r="S41" i="184"/>
  <c r="S42" i="184"/>
  <c r="S30" i="185"/>
  <c r="S41" i="185"/>
  <c r="S42" i="185"/>
  <c r="S30" i="186"/>
  <c r="S41" i="186"/>
  <c r="S42" i="186"/>
  <c r="S30" i="166"/>
  <c r="S41" i="166"/>
  <c r="S42" i="166"/>
  <c r="S30" i="167"/>
  <c r="S41" i="167"/>
  <c r="S42" i="167"/>
  <c r="S30" i="168"/>
  <c r="S41" i="168"/>
  <c r="S42" i="168"/>
  <c r="S30" i="169"/>
  <c r="S41" i="169"/>
  <c r="S42" i="169"/>
  <c r="S30" i="170"/>
  <c r="S41" i="170"/>
  <c r="S42" i="170"/>
  <c r="S30" i="171"/>
  <c r="S41" i="171"/>
  <c r="S42" i="171"/>
  <c r="S30" i="172"/>
  <c r="S41" i="172"/>
  <c r="S42" i="172"/>
  <c r="S30" i="173"/>
  <c r="S41" i="173"/>
  <c r="S42" i="173"/>
  <c r="S30" i="162"/>
  <c r="S41" i="162"/>
  <c r="S42" i="162"/>
  <c r="S30" i="163"/>
  <c r="S41" i="163"/>
  <c r="S42" i="163"/>
  <c r="S30" i="164"/>
  <c r="S41" i="164"/>
  <c r="S42" i="164"/>
  <c r="S30" i="165"/>
  <c r="S41" i="165"/>
  <c r="S42" i="165"/>
  <c r="S30" i="160"/>
  <c r="S41" i="160"/>
  <c r="S42" i="160"/>
  <c r="S30" i="161"/>
  <c r="S41" i="161"/>
  <c r="S42" i="161"/>
  <c r="S30" i="159"/>
  <c r="S41" i="159"/>
  <c r="S42" i="159"/>
  <c r="S30" i="187"/>
  <c r="S41" i="187"/>
  <c r="S42" i="187"/>
  <c r="S30" i="189"/>
  <c r="S41" i="189"/>
  <c r="S42" i="189"/>
  <c r="AB10" i="169"/>
  <c r="G14" i="167"/>
  <c r="AD6" i="169"/>
  <c r="AD10" i="169"/>
  <c r="Y10" i="169"/>
  <c r="Y16" i="169"/>
  <c r="Q15" i="171"/>
  <c r="Q16" i="171"/>
  <c r="AB13" i="171"/>
  <c r="G13" i="171"/>
  <c r="O10" i="174"/>
  <c r="O16" i="174"/>
  <c r="Z8" i="174"/>
  <c r="G8" i="174"/>
  <c r="Z8" i="178"/>
  <c r="O10" i="178"/>
  <c r="AD11" i="179"/>
  <c r="AD15" i="179"/>
  <c r="M15" i="179"/>
  <c r="J15" i="188" a="1"/>
  <c r="J15" i="188"/>
  <c r="AB16" i="175"/>
  <c r="AD10" i="165"/>
  <c r="Z6" i="164"/>
  <c r="O10" i="164"/>
  <c r="AD9" i="169"/>
  <c r="M10" i="169"/>
  <c r="M16" i="169"/>
  <c r="AD16" i="169"/>
  <c r="G42" i="178"/>
  <c r="G30" i="179"/>
  <c r="G41" i="179"/>
  <c r="G42" i="179"/>
  <c r="G30" i="180"/>
  <c r="G41" i="180"/>
  <c r="G42" i="180"/>
  <c r="G30" i="181"/>
  <c r="G41" i="181"/>
  <c r="G42" i="181"/>
  <c r="G30" i="182"/>
  <c r="G41" i="182"/>
  <c r="G42" i="182"/>
  <c r="G30" i="183"/>
  <c r="G41" i="183"/>
  <c r="G42" i="183"/>
  <c r="G30" i="184"/>
  <c r="G41" i="184"/>
  <c r="G42" i="184"/>
  <c r="G30" i="185"/>
  <c r="G41" i="185"/>
  <c r="G42" i="185"/>
  <c r="G30" i="186"/>
  <c r="G41" i="186"/>
  <c r="G42" i="186"/>
  <c r="G30" i="166"/>
  <c r="G41" i="166"/>
  <c r="G42" i="166"/>
  <c r="G30" i="167"/>
  <c r="G41" i="167"/>
  <c r="G42" i="167"/>
  <c r="G30" i="168"/>
  <c r="G41" i="168"/>
  <c r="G42" i="168"/>
  <c r="G30" i="169"/>
  <c r="G41" i="169"/>
  <c r="G42" i="169"/>
  <c r="G30" i="170"/>
  <c r="G41" i="170"/>
  <c r="G42" i="170"/>
  <c r="G30" i="171"/>
  <c r="G41" i="171"/>
  <c r="G42" i="171"/>
  <c r="G30" i="172"/>
  <c r="G41" i="172"/>
  <c r="G42" i="172"/>
  <c r="G30" i="173"/>
  <c r="G41" i="173"/>
  <c r="G42" i="173"/>
  <c r="G30" i="162"/>
  <c r="G41" i="162"/>
  <c r="G42" i="162"/>
  <c r="G30" i="163"/>
  <c r="G41" i="163"/>
  <c r="G42" i="163"/>
  <c r="G30" i="164"/>
  <c r="G41" i="164"/>
  <c r="G42" i="164"/>
  <c r="G30" i="165"/>
  <c r="G41" i="165"/>
  <c r="G42" i="165"/>
  <c r="G30" i="160"/>
  <c r="G41" i="160"/>
  <c r="G42" i="160"/>
  <c r="G30" i="161"/>
  <c r="G41" i="161"/>
  <c r="G42" i="161"/>
  <c r="G30" i="159"/>
  <c r="G41" i="159"/>
  <c r="G42" i="159"/>
  <c r="G30" i="187"/>
  <c r="G41" i="187"/>
  <c r="G42" i="187"/>
  <c r="G30" i="189"/>
  <c r="G41" i="189"/>
  <c r="G42" i="189"/>
  <c r="W16" i="174"/>
  <c r="Z10" i="183"/>
  <c r="G6" i="183"/>
  <c r="AE6" i="182"/>
  <c r="AE11" i="182"/>
  <c r="AB15" i="189"/>
  <c r="G8" i="185"/>
  <c r="AA6" i="179"/>
  <c r="AA11" i="179"/>
  <c r="W42" i="179"/>
  <c r="W30" i="180"/>
  <c r="W41" i="180"/>
  <c r="W42" i="180"/>
  <c r="W30" i="181"/>
  <c r="W41" i="181"/>
  <c r="W42" i="181"/>
  <c r="W30" i="182"/>
  <c r="W41" i="182"/>
  <c r="W42" i="182"/>
  <c r="W30" i="183"/>
  <c r="W41" i="183"/>
  <c r="W42" i="183"/>
  <c r="W30" i="184"/>
  <c r="W41" i="184"/>
  <c r="W42" i="184"/>
  <c r="W30" i="185"/>
  <c r="W41" i="185"/>
  <c r="W42" i="185"/>
  <c r="W30" i="186"/>
  <c r="W41" i="186"/>
  <c r="W42" i="186"/>
  <c r="W30" i="166"/>
  <c r="W41" i="166"/>
  <c r="W42" i="166"/>
  <c r="W30" i="167"/>
  <c r="W41" i="167"/>
  <c r="W42" i="167"/>
  <c r="W30" i="168"/>
  <c r="W41" i="168"/>
  <c r="W42" i="168"/>
  <c r="W30" i="169"/>
  <c r="W41" i="169"/>
  <c r="W42" i="169"/>
  <c r="W30" i="170"/>
  <c r="W41" i="170"/>
  <c r="W42" i="170"/>
  <c r="W30" i="171"/>
  <c r="W41" i="171"/>
  <c r="W42" i="171"/>
  <c r="W30" i="172"/>
  <c r="W41" i="172"/>
  <c r="W42" i="172"/>
  <c r="W30" i="173"/>
  <c r="W41" i="173"/>
  <c r="W42" i="173"/>
  <c r="W30" i="162"/>
  <c r="W41" i="162"/>
  <c r="W42" i="162"/>
  <c r="W30" i="163"/>
  <c r="W41" i="163"/>
  <c r="W42" i="163"/>
  <c r="W30" i="164"/>
  <c r="W41" i="164"/>
  <c r="W42" i="164"/>
  <c r="W30" i="165"/>
  <c r="W41" i="165"/>
  <c r="W42" i="165"/>
  <c r="W30" i="160"/>
  <c r="W41" i="160"/>
  <c r="W42" i="160"/>
  <c r="W30" i="161"/>
  <c r="W41" i="161"/>
  <c r="W42" i="161"/>
  <c r="W30" i="159"/>
  <c r="W41" i="159"/>
  <c r="W42" i="159"/>
  <c r="W30" i="187"/>
  <c r="W41" i="187"/>
  <c r="W42" i="187"/>
  <c r="W30" i="189"/>
  <c r="W41" i="189"/>
  <c r="W42" i="189"/>
  <c r="AD14" i="161"/>
  <c r="M15" i="161"/>
  <c r="G7" i="170"/>
  <c r="Z15" i="165"/>
  <c r="Z16" i="165"/>
  <c r="AA6" i="165"/>
  <c r="AA11" i="165"/>
  <c r="G11" i="165"/>
  <c r="Z15" i="159"/>
  <c r="G11" i="159"/>
  <c r="G11" i="164"/>
  <c r="Z10" i="181"/>
  <c r="I16" i="163"/>
  <c r="G6" i="180"/>
  <c r="Z10" i="180"/>
  <c r="K42" i="176"/>
  <c r="K30" i="177"/>
  <c r="K41" i="177"/>
  <c r="K42" i="177"/>
  <c r="K30" i="178"/>
  <c r="K41" i="178"/>
  <c r="K42" i="178"/>
  <c r="K30" i="179"/>
  <c r="K41" i="179"/>
  <c r="K42" i="179"/>
  <c r="K30" i="180"/>
  <c r="K41" i="180"/>
  <c r="K42" i="180"/>
  <c r="K30" i="181"/>
  <c r="K41" i="181"/>
  <c r="K42" i="181"/>
  <c r="K30" i="182"/>
  <c r="K41" i="182"/>
  <c r="K42" i="182"/>
  <c r="K30" i="183"/>
  <c r="K41" i="183"/>
  <c r="K42" i="183"/>
  <c r="K30" i="184"/>
  <c r="K41" i="184"/>
  <c r="K42" i="184"/>
  <c r="K30" i="185"/>
  <c r="K41" i="185"/>
  <c r="K42" i="185"/>
  <c r="K30" i="186"/>
  <c r="K41" i="186"/>
  <c r="K42" i="186"/>
  <c r="K30" i="166"/>
  <c r="K41" i="166"/>
  <c r="K42" i="166"/>
  <c r="K30" i="167"/>
  <c r="K41" i="167"/>
  <c r="K42" i="167"/>
  <c r="K30" i="168"/>
  <c r="K41" i="168"/>
  <c r="K42" i="168"/>
  <c r="K30" i="169"/>
  <c r="K41" i="169"/>
  <c r="K42" i="169"/>
  <c r="K30" i="170"/>
  <c r="K41" i="170"/>
  <c r="K42" i="170"/>
  <c r="K30" i="171"/>
  <c r="K41" i="171"/>
  <c r="K42" i="171"/>
  <c r="K30" i="172"/>
  <c r="K41" i="172"/>
  <c r="K42" i="172"/>
  <c r="K30" i="173"/>
  <c r="K41" i="173"/>
  <c r="K42" i="173"/>
  <c r="K30" i="162"/>
  <c r="K41" i="162"/>
  <c r="K42" i="162"/>
  <c r="K30" i="163"/>
  <c r="K41" i="163"/>
  <c r="K42" i="163"/>
  <c r="K30" i="164"/>
  <c r="K41" i="164"/>
  <c r="K42" i="164"/>
  <c r="K30" i="165"/>
  <c r="K41" i="165"/>
  <c r="K42" i="165"/>
  <c r="K30" i="160"/>
  <c r="K41" i="160"/>
  <c r="K42" i="160"/>
  <c r="K30" i="161"/>
  <c r="K41" i="161"/>
  <c r="K42" i="161"/>
  <c r="K30" i="159"/>
  <c r="K41" i="159"/>
  <c r="K42" i="159"/>
  <c r="K30" i="187"/>
  <c r="K41" i="187"/>
  <c r="K42" i="187"/>
  <c r="K30" i="189"/>
  <c r="K41" i="189"/>
  <c r="K42" i="189"/>
  <c r="AD7" i="167"/>
  <c r="G7" i="167"/>
  <c r="M10" i="167"/>
  <c r="I16" i="175"/>
  <c r="G12" i="170"/>
  <c r="G13" i="174"/>
  <c r="AB15" i="178"/>
  <c r="G11" i="178"/>
  <c r="G13" i="179"/>
  <c r="Z9" i="169"/>
  <c r="O10" i="169"/>
  <c r="AB6" i="170"/>
  <c r="K10" i="170"/>
  <c r="W15" i="181"/>
  <c r="W16" i="181"/>
  <c r="AB13" i="181"/>
  <c r="G13" i="181"/>
  <c r="O16" i="181"/>
  <c r="G12" i="163"/>
  <c r="I10" i="139"/>
  <c r="Y16" i="167"/>
  <c r="AD11" i="168"/>
  <c r="AD15" i="168"/>
  <c r="AD16" i="168"/>
  <c r="M15" i="168"/>
  <c r="M16" i="168"/>
  <c r="K15" i="170"/>
  <c r="AB12" i="170"/>
  <c r="G14" i="173"/>
  <c r="Y15" i="174"/>
  <c r="Y16" i="174"/>
  <c r="AD11" i="174"/>
  <c r="AD14" i="176"/>
  <c r="Y15" i="176"/>
  <c r="Y16" i="176"/>
  <c r="AD12" i="187"/>
  <c r="M15" i="187"/>
  <c r="M16" i="187"/>
  <c r="AB6" i="139"/>
  <c r="K10" i="139"/>
  <c r="K16" i="139"/>
  <c r="Y16" i="163"/>
  <c r="AD6" i="164"/>
  <c r="AD10" i="164"/>
  <c r="Y10" i="164"/>
  <c r="Y16" i="164"/>
  <c r="AB8" i="165"/>
  <c r="G8" i="165"/>
  <c r="J32" i="188" a="1"/>
  <c r="J32" i="188"/>
  <c r="K10" i="165"/>
  <c r="K16" i="165"/>
  <c r="AD11" i="165"/>
  <c r="AD15" i="165"/>
  <c r="AD16" i="165"/>
  <c r="S15" i="165"/>
  <c r="S16" i="165"/>
  <c r="Z13" i="172"/>
  <c r="G13" i="172"/>
  <c r="I15" i="172"/>
  <c r="I16" i="172"/>
  <c r="M15" i="176"/>
  <c r="M16" i="176"/>
  <c r="AD11" i="176"/>
  <c r="AD15" i="176"/>
  <c r="Z11" i="180"/>
  <c r="I15" i="180"/>
  <c r="I16" i="180"/>
  <c r="K10" i="182"/>
  <c r="K16" i="182"/>
  <c r="AB8" i="182"/>
  <c r="AB10" i="182"/>
  <c r="AB8" i="171"/>
  <c r="K15" i="172"/>
  <c r="K16" i="172"/>
  <c r="M15" i="188" a="1"/>
  <c r="M15" i="188"/>
  <c r="G15" i="188" a="1"/>
  <c r="G15" i="188"/>
  <c r="M10" i="139"/>
  <c r="AD6" i="139"/>
  <c r="AD10" i="139"/>
  <c r="AD8" i="165"/>
  <c r="M10" i="165"/>
  <c r="M16" i="165"/>
  <c r="K10" i="168"/>
  <c r="K16" i="168"/>
  <c r="AB8" i="168"/>
  <c r="G8" i="168"/>
  <c r="G7" i="169"/>
  <c r="Z10" i="169"/>
  <c r="AB15" i="169"/>
  <c r="AB16" i="169"/>
  <c r="M15" i="172"/>
  <c r="AD11" i="172"/>
  <c r="AD15" i="172"/>
  <c r="M10" i="174"/>
  <c r="M16" i="174"/>
  <c r="AD6" i="174"/>
  <c r="AD10" i="174"/>
  <c r="Z11" i="176"/>
  <c r="O15" i="176"/>
  <c r="O16" i="176"/>
  <c r="AB6" i="178"/>
  <c r="K10" i="178"/>
  <c r="K16" i="178"/>
  <c r="AB12" i="181"/>
  <c r="K15" i="181"/>
  <c r="K16" i="181"/>
  <c r="G8" i="186"/>
  <c r="G12" i="166"/>
  <c r="AB15" i="166"/>
  <c r="AD10" i="159"/>
  <c r="Q42" i="176"/>
  <c r="Q30" i="177"/>
  <c r="Q41" i="177"/>
  <c r="Q42" i="177"/>
  <c r="Q30" i="178"/>
  <c r="Q41" i="178"/>
  <c r="Q42" i="178"/>
  <c r="Q30" i="179"/>
  <c r="Q41" i="179"/>
  <c r="Q42" i="179"/>
  <c r="Q30" i="180"/>
  <c r="Q41" i="180"/>
  <c r="Q42" i="180"/>
  <c r="Q30" i="181"/>
  <c r="Q41" i="181"/>
  <c r="Q42" i="181"/>
  <c r="Q30" i="182"/>
  <c r="Q41" i="182"/>
  <c r="Q42" i="182"/>
  <c r="Q30" i="183"/>
  <c r="Q41" i="183"/>
  <c r="Q42" i="183"/>
  <c r="Q30" i="184"/>
  <c r="Q41" i="184"/>
  <c r="Q42" i="184"/>
  <c r="Q30" i="185"/>
  <c r="Q41" i="185"/>
  <c r="Q42" i="185"/>
  <c r="Q30" i="186"/>
  <c r="Q41" i="186"/>
  <c r="Q42" i="186"/>
  <c r="Q30" i="166"/>
  <c r="Q41" i="166"/>
  <c r="Q42" i="166"/>
  <c r="Q30" i="167"/>
  <c r="Q41" i="167"/>
  <c r="Q42" i="167"/>
  <c r="Q30" i="168"/>
  <c r="Q41" i="168"/>
  <c r="Q42" i="168"/>
  <c r="Q30" i="169"/>
  <c r="Q41" i="169"/>
  <c r="Q42" i="169"/>
  <c r="Q30" i="170"/>
  <c r="Q41" i="170"/>
  <c r="Q42" i="170"/>
  <c r="Q30" i="171"/>
  <c r="Q41" i="171"/>
  <c r="Q42" i="171"/>
  <c r="Q30" i="172"/>
  <c r="Q41" i="172"/>
  <c r="Q42" i="172"/>
  <c r="Q30" i="173"/>
  <c r="Q41" i="173"/>
  <c r="Q42" i="173"/>
  <c r="Q30" i="162"/>
  <c r="Q41" i="162"/>
  <c r="Q42" i="162"/>
  <c r="Q30" i="163"/>
  <c r="Q41" i="163"/>
  <c r="Q42" i="163"/>
  <c r="Q30" i="164"/>
  <c r="Q41" i="164"/>
  <c r="Q42" i="164"/>
  <c r="Q30" i="165"/>
  <c r="Q41" i="165"/>
  <c r="Q42" i="165"/>
  <c r="Q30" i="160"/>
  <c r="Q41" i="160"/>
  <c r="Q42" i="160"/>
  <c r="Q30" i="161"/>
  <c r="Q41" i="161"/>
  <c r="Q42" i="161"/>
  <c r="Q30" i="159"/>
  <c r="Q41" i="159"/>
  <c r="Q42" i="159"/>
  <c r="Q30" i="187"/>
  <c r="Q41" i="187"/>
  <c r="Q42" i="187"/>
  <c r="Q30" i="189"/>
  <c r="Q41" i="189"/>
  <c r="Q42" i="189"/>
  <c r="G7" i="165"/>
  <c r="G13" i="170"/>
  <c r="P11" i="188" a="1"/>
  <c r="P11" i="188"/>
  <c r="G15" i="177"/>
  <c r="AA6" i="168"/>
  <c r="AA11" i="168"/>
  <c r="G11" i="186"/>
  <c r="Y16" i="181"/>
  <c r="W16" i="139"/>
  <c r="K15" i="160"/>
  <c r="K16" i="160"/>
  <c r="AB11" i="160"/>
  <c r="AB15" i="160"/>
  <c r="U15" i="162"/>
  <c r="U16" i="162"/>
  <c r="Z11" i="162"/>
  <c r="K15" i="167"/>
  <c r="K16" i="167"/>
  <c r="AB14" i="167"/>
  <c r="AB12" i="171"/>
  <c r="K15" i="171"/>
  <c r="K16" i="171"/>
  <c r="Z12" i="175"/>
  <c r="O15" i="175"/>
  <c r="I10" i="176"/>
  <c r="I16" i="176"/>
  <c r="Z6" i="176"/>
  <c r="AD14" i="178"/>
  <c r="G14" i="178"/>
  <c r="M15" i="178"/>
  <c r="M16" i="178"/>
  <c r="G6" i="179"/>
  <c r="I16" i="179"/>
  <c r="AD15" i="175"/>
  <c r="AD15" i="163"/>
  <c r="AD16" i="163"/>
  <c r="AD15" i="189"/>
  <c r="AD16" i="189"/>
  <c r="G11" i="184"/>
  <c r="G7" i="174"/>
  <c r="Z11" i="174"/>
  <c r="I15" i="174"/>
  <c r="I16" i="174"/>
  <c r="AB9" i="176"/>
  <c r="G9" i="176"/>
  <c r="K10" i="176"/>
  <c r="K15" i="176"/>
  <c r="K16" i="176"/>
  <c r="AB12" i="176"/>
  <c r="G14" i="176"/>
  <c r="G10" i="184"/>
  <c r="G18" i="188" a="1"/>
  <c r="G18" i="188"/>
  <c r="O15" i="173"/>
  <c r="O16" i="173"/>
  <c r="Z10" i="162"/>
  <c r="AD14" i="162"/>
  <c r="M15" i="162"/>
  <c r="M16" i="162"/>
  <c r="Q15" i="139"/>
  <c r="Q16" i="139"/>
  <c r="AB11" i="139"/>
  <c r="Y10" i="171"/>
  <c r="AD7" i="171"/>
  <c r="AD10" i="171"/>
  <c r="G7" i="172"/>
  <c r="AD8" i="178"/>
  <c r="AD10" i="178"/>
  <c r="M10" i="178"/>
  <c r="G11" i="185"/>
  <c r="AD15" i="185"/>
  <c r="AD16" i="185"/>
  <c r="AE6" i="185"/>
  <c r="AE11" i="185"/>
  <c r="AB13" i="185"/>
  <c r="G13" i="185"/>
  <c r="K15" i="185"/>
  <c r="AB6" i="189"/>
  <c r="AB10" i="189"/>
  <c r="K10" i="189"/>
  <c r="K15" i="189"/>
  <c r="AB14" i="189"/>
  <c r="G14" i="189"/>
  <c r="S10" i="174"/>
  <c r="AD8" i="174"/>
  <c r="Z10" i="184"/>
  <c r="G8" i="184"/>
  <c r="G9" i="170"/>
  <c r="M15" i="185"/>
  <c r="M16" i="185"/>
  <c r="AD13" i="162"/>
  <c r="G13" i="162"/>
  <c r="S15" i="162"/>
  <c r="S16" i="162"/>
  <c r="AD12" i="164"/>
  <c r="G12" i="164"/>
  <c r="M15" i="164"/>
  <c r="M16" i="164"/>
  <c r="Q16" i="170"/>
  <c r="AD14" i="184"/>
  <c r="G14" i="184"/>
  <c r="S15" i="184"/>
  <c r="S16" i="184"/>
  <c r="K10" i="185"/>
  <c r="AB6" i="185"/>
  <c r="AB10" i="185"/>
  <c r="G13" i="186"/>
  <c r="AD15" i="186"/>
  <c r="AD16" i="186"/>
  <c r="AE6" i="186"/>
  <c r="AE11" i="186"/>
  <c r="AE6" i="183"/>
  <c r="AE11" i="183"/>
  <c r="AB10" i="173"/>
  <c r="AD8" i="162"/>
  <c r="Y10" i="162"/>
  <c r="Y15" i="162"/>
  <c r="Y16" i="162"/>
  <c r="AD11" i="162"/>
  <c r="AD15" i="162"/>
  <c r="AD8" i="172"/>
  <c r="G8" i="172"/>
  <c r="M10" i="172"/>
  <c r="Z6" i="185"/>
  <c r="O10" i="185"/>
  <c r="AD10" i="160"/>
  <c r="Z14" i="164"/>
  <c r="G14" i="164"/>
  <c r="O15" i="164"/>
  <c r="AD6" i="167"/>
  <c r="Y10" i="167"/>
  <c r="G8" i="167"/>
  <c r="AD12" i="161"/>
  <c r="S15" i="161"/>
  <c r="S16" i="161"/>
  <c r="AB8" i="166"/>
  <c r="G8" i="166"/>
  <c r="K10" i="166"/>
  <c r="Z11" i="169"/>
  <c r="O15" i="169"/>
  <c r="O16" i="169"/>
  <c r="Z14" i="174"/>
  <c r="G14" i="174"/>
  <c r="U15" i="174"/>
  <c r="U16" i="174"/>
  <c r="Z15" i="177"/>
  <c r="U16" i="168"/>
  <c r="Y16" i="189"/>
  <c r="AD9" i="159"/>
  <c r="Y10" i="159"/>
  <c r="AD14" i="159"/>
  <c r="G14" i="159"/>
  <c r="M10" i="166"/>
  <c r="M16" i="166"/>
  <c r="AD8" i="166"/>
  <c r="Z11" i="170"/>
  <c r="I15" i="170"/>
  <c r="I16" i="170"/>
  <c r="G11" i="175"/>
  <c r="G14" i="175"/>
  <c r="AB13" i="184"/>
  <c r="K15" i="184"/>
  <c r="K16" i="184"/>
  <c r="AD15" i="170"/>
  <c r="AD16" i="170"/>
  <c r="AE6" i="170"/>
  <c r="AE11" i="170"/>
  <c r="G14" i="161"/>
  <c r="AB12" i="162"/>
  <c r="Q15" i="162"/>
  <c r="Q16" i="162"/>
  <c r="G14" i="187"/>
  <c r="AB15" i="173"/>
  <c r="G11" i="160"/>
  <c r="G13" i="178"/>
  <c r="I15" i="139"/>
  <c r="Y10" i="165"/>
  <c r="Y16" i="165"/>
  <c r="AB13" i="169"/>
  <c r="G13" i="169"/>
  <c r="AD12" i="174"/>
  <c r="G12" i="174"/>
  <c r="S15" i="174"/>
  <c r="S16" i="174"/>
  <c r="Z7" i="175"/>
  <c r="G7" i="175"/>
  <c r="O10" i="175"/>
  <c r="I16" i="177"/>
  <c r="M10" i="179"/>
  <c r="AD6" i="179"/>
  <c r="AD10" i="179"/>
  <c r="O15" i="183"/>
  <c r="O16" i="183"/>
  <c r="Z11" i="183"/>
  <c r="Y15" i="184"/>
  <c r="Y16" i="184"/>
  <c r="AD12" i="184"/>
  <c r="G12" i="184"/>
  <c r="AB10" i="186"/>
  <c r="AB16" i="186"/>
  <c r="O16" i="167"/>
  <c r="W16" i="177"/>
  <c r="Z6" i="163"/>
  <c r="O10" i="163"/>
  <c r="O16" i="163"/>
  <c r="Q16" i="165"/>
  <c r="G9" i="168"/>
  <c r="G7" i="168"/>
  <c r="G10" i="168"/>
  <c r="Z15" i="185"/>
  <c r="G6" i="175"/>
  <c r="Z10" i="175"/>
  <c r="AD11" i="173"/>
  <c r="AD15" i="173"/>
  <c r="S15" i="173"/>
  <c r="S16" i="173"/>
  <c r="K16" i="175"/>
  <c r="Q10" i="177"/>
  <c r="Q16" i="177"/>
  <c r="AB8" i="177"/>
  <c r="AB10" i="177"/>
  <c r="AB16" i="177"/>
  <c r="AD12" i="182"/>
  <c r="AD15" i="182"/>
  <c r="AD16" i="182"/>
  <c r="S15" i="182"/>
  <c r="S16" i="182"/>
  <c r="G12" i="161"/>
  <c r="G15" i="161"/>
  <c r="G12" i="178"/>
  <c r="AB15" i="170"/>
  <c r="AB7" i="139"/>
  <c r="G7" i="139"/>
  <c r="K15" i="166"/>
  <c r="K16" i="166"/>
  <c r="G6" i="172"/>
  <c r="AB10" i="172"/>
  <c r="AD15" i="166"/>
  <c r="G9" i="179"/>
  <c r="AC6" i="183"/>
  <c r="AC11" i="183"/>
  <c r="AD10" i="161"/>
  <c r="U16" i="164"/>
  <c r="AD11" i="167"/>
  <c r="E16" i="167"/>
  <c r="G12" i="180"/>
  <c r="S16" i="175"/>
  <c r="U16" i="165"/>
  <c r="AB9" i="159"/>
  <c r="G11" i="163"/>
  <c r="AB9" i="161"/>
  <c r="G9" i="161"/>
  <c r="K10" i="161"/>
  <c r="K16" i="161"/>
  <c r="Y10" i="166"/>
  <c r="AD6" i="166"/>
  <c r="U16" i="170"/>
  <c r="AB14" i="172"/>
  <c r="G14" i="172"/>
  <c r="Q15" i="172"/>
  <c r="Q16" i="172"/>
  <c r="M10" i="173"/>
  <c r="M16" i="173"/>
  <c r="AD6" i="173"/>
  <c r="AB14" i="183"/>
  <c r="G14" i="183"/>
  <c r="Z6" i="187"/>
  <c r="AB6" i="162"/>
  <c r="W15" i="162"/>
  <c r="W16" i="162"/>
  <c r="I10" i="178"/>
  <c r="I16" i="178"/>
  <c r="K15" i="179"/>
  <c r="K16" i="179"/>
  <c r="AB11" i="179"/>
  <c r="AB12" i="185"/>
  <c r="AB13" i="139"/>
  <c r="G13" i="139"/>
  <c r="Y15" i="159"/>
  <c r="Y16" i="159"/>
  <c r="I15" i="162"/>
  <c r="I16" i="162"/>
  <c r="M15" i="170"/>
  <c r="M16" i="170"/>
  <c r="AB8" i="179"/>
  <c r="AB10" i="179"/>
  <c r="W10" i="139"/>
  <c r="G14" i="162"/>
  <c r="AD8" i="163"/>
  <c r="AD10" i="163"/>
  <c r="AB13" i="163"/>
  <c r="K10" i="167"/>
  <c r="Z12" i="183"/>
  <c r="G12" i="183"/>
  <c r="Q16" i="184"/>
  <c r="Z15" i="187"/>
  <c r="U10" i="173"/>
  <c r="U16" i="173"/>
  <c r="Z12" i="139"/>
  <c r="Q15" i="161"/>
  <c r="Q16" i="161"/>
  <c r="Y15" i="171"/>
  <c r="Y16" i="171"/>
  <c r="I10" i="175"/>
  <c r="Y15" i="177"/>
  <c r="Y16" i="177"/>
  <c r="K10" i="186"/>
  <c r="K16" i="186"/>
  <c r="Z9" i="186"/>
  <c r="W16" i="171"/>
  <c r="AB11" i="180"/>
  <c r="AB15" i="180"/>
  <c r="AB16" i="180"/>
  <c r="AC6" i="180"/>
  <c r="AC11" i="180"/>
  <c r="K15" i="180"/>
  <c r="K16" i="180"/>
  <c r="G11" i="187"/>
  <c r="O15" i="160"/>
  <c r="O16" i="160"/>
  <c r="W15" i="165"/>
  <c r="W16" i="165"/>
  <c r="AB11" i="167"/>
  <c r="M15" i="180"/>
  <c r="M16" i="180"/>
  <c r="AD11" i="180"/>
  <c r="AD15" i="180"/>
  <c r="AD16" i="180"/>
  <c r="AE6" i="180"/>
  <c r="AE11" i="180"/>
  <c r="O15" i="189"/>
  <c r="O16" i="189"/>
  <c r="M15" i="139"/>
  <c r="M16" i="139"/>
  <c r="AD13" i="160"/>
  <c r="G13" i="160"/>
  <c r="M15" i="160"/>
  <c r="M15" i="167"/>
  <c r="AD13" i="167"/>
  <c r="G13" i="167"/>
  <c r="Q10" i="171"/>
  <c r="U15" i="172"/>
  <c r="U16" i="172"/>
  <c r="AB9" i="174"/>
  <c r="G9" i="174"/>
  <c r="AD7" i="176"/>
  <c r="AD10" i="176"/>
  <c r="Q15" i="180"/>
  <c r="Q16" i="180"/>
  <c r="O15" i="185"/>
  <c r="O16" i="185"/>
  <c r="Z14" i="163"/>
  <c r="AB12" i="165"/>
  <c r="M10" i="168"/>
  <c r="AD7" i="168"/>
  <c r="AD10" i="168"/>
  <c r="G14" i="179"/>
  <c r="U16" i="186"/>
  <c r="AD8" i="175"/>
  <c r="AD14" i="166"/>
  <c r="G14" i="166"/>
  <c r="Z7" i="171"/>
  <c r="I16" i="173"/>
  <c r="AB12" i="179"/>
  <c r="G12" i="179"/>
  <c r="Z8" i="183"/>
  <c r="G8" i="183"/>
  <c r="AB11" i="183"/>
  <c r="AB15" i="183"/>
  <c r="AB16" i="183"/>
  <c r="K15" i="183"/>
  <c r="K16" i="183"/>
  <c r="I16" i="186"/>
  <c r="S15" i="187"/>
  <c r="S16" i="187"/>
  <c r="AE6" i="177"/>
  <c r="AE11" i="177"/>
  <c r="W15" i="160"/>
  <c r="W16" i="160"/>
  <c r="Z11" i="166"/>
  <c r="I15" i="166"/>
  <c r="I16" i="166"/>
  <c r="Z12" i="172"/>
  <c r="K15" i="173"/>
  <c r="K16" i="173"/>
  <c r="Z6" i="177"/>
  <c r="O10" i="177"/>
  <c r="O16" i="177"/>
  <c r="O15" i="178"/>
  <c r="G7" i="179"/>
  <c r="W15" i="180"/>
  <c r="W16" i="180"/>
  <c r="Y15" i="182"/>
  <c r="Y16" i="182"/>
  <c r="AB13" i="187"/>
  <c r="AE6" i="181"/>
  <c r="AE11" i="181"/>
  <c r="AD11" i="139"/>
  <c r="AD15" i="139"/>
  <c r="AD16" i="139"/>
  <c r="AB13" i="159"/>
  <c r="G13" i="159"/>
  <c r="M10" i="161"/>
  <c r="AD7" i="161"/>
  <c r="G7" i="161"/>
  <c r="K15" i="164"/>
  <c r="K16" i="164"/>
  <c r="AB13" i="164"/>
  <c r="G13" i="164"/>
  <c r="AB14" i="165"/>
  <c r="G14" i="165"/>
  <c r="Y15" i="166"/>
  <c r="I15" i="168"/>
  <c r="I16" i="168"/>
  <c r="AB12" i="172"/>
  <c r="AB14" i="174"/>
  <c r="AB15" i="174"/>
  <c r="AD12" i="175"/>
  <c r="Z14" i="177"/>
  <c r="G14" i="177"/>
  <c r="Y10" i="181"/>
  <c r="U15" i="185"/>
  <c r="U16" i="185"/>
  <c r="M15" i="177"/>
  <c r="M16" i="177"/>
  <c r="I32" i="188"/>
  <c r="D34" i="188" a="1"/>
  <c r="D34" i="188"/>
  <c r="M34" i="188" a="1"/>
  <c r="M34" i="188"/>
  <c r="J34" i="188" a="1"/>
  <c r="J34" i="188"/>
  <c r="G10" i="161"/>
  <c r="G16" i="161"/>
  <c r="G34" i="188" a="1"/>
  <c r="G34" i="188"/>
  <c r="K16" i="185"/>
  <c r="AB10" i="174"/>
  <c r="G6" i="174"/>
  <c r="G11" i="183"/>
  <c r="Z15" i="183"/>
  <c r="Z16" i="183"/>
  <c r="AA6" i="183"/>
  <c r="AA11" i="183"/>
  <c r="G12" i="162"/>
  <c r="AB15" i="162"/>
  <c r="AB15" i="176"/>
  <c r="AB16" i="176"/>
  <c r="G12" i="176"/>
  <c r="G11" i="139"/>
  <c r="Z15" i="186"/>
  <c r="Z16" i="186"/>
  <c r="G11" i="176"/>
  <c r="Z15" i="176"/>
  <c r="G6" i="189"/>
  <c r="M16" i="161"/>
  <c r="AB16" i="182"/>
  <c r="AC6" i="182"/>
  <c r="AC11" i="182"/>
  <c r="AE6" i="164"/>
  <c r="AE11" i="164"/>
  <c r="M27" i="188" a="1"/>
  <c r="M27" i="188"/>
  <c r="G10" i="172"/>
  <c r="G27" i="188" a="1"/>
  <c r="G27" i="188"/>
  <c r="D27" i="188" a="1"/>
  <c r="D27" i="188"/>
  <c r="J27" i="188" a="1"/>
  <c r="J27" i="188"/>
  <c r="G8" i="171"/>
  <c r="AB10" i="171"/>
  <c r="G12" i="165"/>
  <c r="Y32" i="188" a="1"/>
  <c r="Y32" i="188"/>
  <c r="AB15" i="165"/>
  <c r="D17" i="188" a="1"/>
  <c r="D17" i="188"/>
  <c r="G17" i="188" a="1"/>
  <c r="G17" i="188"/>
  <c r="G10" i="183"/>
  <c r="M17" i="188" a="1"/>
  <c r="M17" i="188"/>
  <c r="J17" i="188" a="1"/>
  <c r="J17" i="188"/>
  <c r="Z10" i="185"/>
  <c r="G6" i="185"/>
  <c r="J13" i="188" a="1"/>
  <c r="J13" i="188"/>
  <c r="G10" i="179"/>
  <c r="Y16" i="188" a="1"/>
  <c r="Y16" i="188"/>
  <c r="S16" i="188" a="1"/>
  <c r="S16" i="188"/>
  <c r="G15" i="182"/>
  <c r="V16" i="188" a="1"/>
  <c r="V16" i="188"/>
  <c r="P16" i="188" a="1"/>
  <c r="P16" i="188"/>
  <c r="AE6" i="179"/>
  <c r="AE11" i="179"/>
  <c r="G9" i="186"/>
  <c r="D20" i="188" a="1"/>
  <c r="D20" i="188"/>
  <c r="Z10" i="186"/>
  <c r="F15" i="188"/>
  <c r="AD15" i="188"/>
  <c r="G14" i="163"/>
  <c r="Y30" i="188" a="1"/>
  <c r="Y30" i="188"/>
  <c r="Z15" i="163"/>
  <c r="Z16" i="163"/>
  <c r="S36" i="188" a="1"/>
  <c r="S36" i="188"/>
  <c r="P36" i="188" a="1"/>
  <c r="P36" i="188"/>
  <c r="V36" i="188" a="1"/>
  <c r="V36" i="188"/>
  <c r="AE6" i="176"/>
  <c r="AE11" i="176"/>
  <c r="V19" i="188" a="1"/>
  <c r="V19" i="188"/>
  <c r="G11" i="166"/>
  <c r="Z15" i="166"/>
  <c r="Z16" i="166"/>
  <c r="AA6" i="166"/>
  <c r="AA11" i="166"/>
  <c r="AD10" i="173"/>
  <c r="G6" i="173"/>
  <c r="AC6" i="186"/>
  <c r="AC11" i="186"/>
  <c r="S32" i="188" a="1"/>
  <c r="S32" i="188"/>
  <c r="G15" i="165"/>
  <c r="V32" i="188" a="1"/>
  <c r="V32" i="188"/>
  <c r="L15" i="188"/>
  <c r="V37" i="188" a="1"/>
  <c r="V37" i="188"/>
  <c r="S37" i="188" a="1"/>
  <c r="S37" i="188"/>
  <c r="Y37" i="188" a="1"/>
  <c r="Y37" i="188"/>
  <c r="G15" i="189"/>
  <c r="P37" i="188" a="1"/>
  <c r="P37" i="188"/>
  <c r="P20" i="188" a="1"/>
  <c r="P20" i="188"/>
  <c r="Y20" i="188" a="1"/>
  <c r="Y20" i="188"/>
  <c r="V20" i="188" a="1"/>
  <c r="V20" i="188"/>
  <c r="G15" i="186"/>
  <c r="S20" i="188" a="1"/>
  <c r="S20" i="188"/>
  <c r="AB15" i="187"/>
  <c r="AB16" i="187"/>
  <c r="AC6" i="187"/>
  <c r="AC11" i="187"/>
  <c r="G13" i="187"/>
  <c r="AB15" i="184"/>
  <c r="AB16" i="184"/>
  <c r="AC6" i="184"/>
  <c r="AC11" i="184"/>
  <c r="G13" i="184"/>
  <c r="P18" i="188" a="1"/>
  <c r="P18" i="188"/>
  <c r="Z15" i="174"/>
  <c r="Z16" i="174"/>
  <c r="G11" i="174"/>
  <c r="AD10" i="172"/>
  <c r="AC6" i="169"/>
  <c r="AC11" i="169"/>
  <c r="G7" i="171"/>
  <c r="Z10" i="171"/>
  <c r="AB15" i="179"/>
  <c r="AB16" i="179"/>
  <c r="G11" i="179"/>
  <c r="V9" i="188" a="1"/>
  <c r="V9" i="188"/>
  <c r="Y9" i="188" a="1"/>
  <c r="Y9" i="188"/>
  <c r="S9" i="188" a="1"/>
  <c r="S9" i="188"/>
  <c r="G15" i="175"/>
  <c r="P9" i="188" a="1"/>
  <c r="P9" i="188"/>
  <c r="AB15" i="163"/>
  <c r="AB16" i="163"/>
  <c r="AC6" i="163"/>
  <c r="AC11" i="163"/>
  <c r="G13" i="163"/>
  <c r="G6" i="178"/>
  <c r="AB10" i="178"/>
  <c r="G11" i="168"/>
  <c r="G6" i="166"/>
  <c r="AD10" i="166"/>
  <c r="AD16" i="166"/>
  <c r="G11" i="169"/>
  <c r="Z15" i="169"/>
  <c r="Z16" i="169"/>
  <c r="O11" i="188"/>
  <c r="M16" i="172"/>
  <c r="AB10" i="139"/>
  <c r="G6" i="139"/>
  <c r="AE6" i="169"/>
  <c r="AE11" i="169"/>
  <c r="Z10" i="159"/>
  <c r="G7" i="159"/>
  <c r="M16" i="167"/>
  <c r="AB15" i="185"/>
  <c r="AB16" i="185"/>
  <c r="AC6" i="185"/>
  <c r="AC11" i="185"/>
  <c r="AB15" i="164"/>
  <c r="AB16" i="164"/>
  <c r="AC6" i="164"/>
  <c r="AC11" i="164"/>
  <c r="Z10" i="174"/>
  <c r="J14" i="188" a="1"/>
  <c r="J14" i="188"/>
  <c r="G14" i="188" a="1"/>
  <c r="G14" i="188"/>
  <c r="D14" i="188" a="1"/>
  <c r="D14" i="188"/>
  <c r="M14" i="188" a="1"/>
  <c r="M14" i="188"/>
  <c r="G10" i="180"/>
  <c r="AA6" i="169"/>
  <c r="AA11" i="169"/>
  <c r="AD16" i="176"/>
  <c r="AD15" i="187"/>
  <c r="AD16" i="187"/>
  <c r="AE6" i="187"/>
  <c r="AE11" i="187"/>
  <c r="G12" i="187"/>
  <c r="Y36" i="188" a="1"/>
  <c r="Y36" i="188"/>
  <c r="G6" i="170"/>
  <c r="AB10" i="170"/>
  <c r="D23" i="188" a="1"/>
  <c r="D23" i="188"/>
  <c r="AB10" i="159"/>
  <c r="G9" i="159"/>
  <c r="G8" i="177"/>
  <c r="AB15" i="139"/>
  <c r="AD15" i="184"/>
  <c r="AD16" i="184"/>
  <c r="AE6" i="184"/>
  <c r="AE11" i="184"/>
  <c r="AE6" i="159"/>
  <c r="AE11" i="159"/>
  <c r="AA6" i="181"/>
  <c r="AA11" i="181"/>
  <c r="Z16" i="181"/>
  <c r="G6" i="164"/>
  <c r="Z10" i="164"/>
  <c r="J23" i="188" a="1"/>
  <c r="J23" i="188"/>
  <c r="G11" i="173"/>
  <c r="G6" i="160"/>
  <c r="AB10" i="160"/>
  <c r="Y11" i="188" a="1"/>
  <c r="Y11" i="188"/>
  <c r="V11" i="188" a="1"/>
  <c r="V11" i="188"/>
  <c r="S11" i="188" a="1"/>
  <c r="S11" i="188"/>
  <c r="AF11" i="188"/>
  <c r="O16" i="178"/>
  <c r="Z15" i="139"/>
  <c r="Z16" i="139"/>
  <c r="AA6" i="139"/>
  <c r="AA11" i="139"/>
  <c r="G12" i="139"/>
  <c r="Z10" i="163"/>
  <c r="G6" i="163"/>
  <c r="G11" i="170"/>
  <c r="Z15" i="170"/>
  <c r="Z16" i="170"/>
  <c r="AA6" i="170"/>
  <c r="AA11" i="170"/>
  <c r="AD15" i="161"/>
  <c r="AD16" i="161"/>
  <c r="AE6" i="161"/>
  <c r="AE11" i="161"/>
  <c r="AB10" i="161"/>
  <c r="J18" i="188" a="1"/>
  <c r="J18" i="188"/>
  <c r="M18" i="188" a="1"/>
  <c r="M18" i="188"/>
  <c r="G15" i="184"/>
  <c r="G16" i="184"/>
  <c r="S18" i="188" a="1"/>
  <c r="S18" i="188"/>
  <c r="G12" i="171"/>
  <c r="V26" i="188" a="1"/>
  <c r="V26" i="188"/>
  <c r="AB15" i="171"/>
  <c r="AB16" i="171"/>
  <c r="AB10" i="176"/>
  <c r="G9" i="169"/>
  <c r="AB10" i="168"/>
  <c r="AE6" i="165"/>
  <c r="AE11" i="165"/>
  <c r="G23" i="188" a="1"/>
  <c r="G23" i="188"/>
  <c r="G8" i="163"/>
  <c r="AD10" i="175"/>
  <c r="AD16" i="175"/>
  <c r="G8" i="175"/>
  <c r="G10" i="175"/>
  <c r="G16" i="175"/>
  <c r="AB10" i="166"/>
  <c r="Z16" i="184"/>
  <c r="AA6" i="184"/>
  <c r="AA11" i="184"/>
  <c r="AD15" i="174"/>
  <c r="AD16" i="174"/>
  <c r="F18" i="188"/>
  <c r="AE6" i="163"/>
  <c r="AE11" i="163"/>
  <c r="AE6" i="174"/>
  <c r="AE11" i="174"/>
  <c r="AD16" i="171"/>
  <c r="AE6" i="171"/>
  <c r="AE11" i="171"/>
  <c r="O16" i="175"/>
  <c r="M32" i="188" a="1"/>
  <c r="M32" i="188"/>
  <c r="D32" i="188" a="1"/>
  <c r="D32" i="188"/>
  <c r="G10" i="165"/>
  <c r="G16" i="165"/>
  <c r="G32" i="188" a="1"/>
  <c r="G32" i="188"/>
  <c r="G11" i="180"/>
  <c r="Z15" i="180"/>
  <c r="Z16" i="180"/>
  <c r="AA6" i="180"/>
  <c r="AA11" i="180"/>
  <c r="Z10" i="161"/>
  <c r="M16" i="160"/>
  <c r="G6" i="169"/>
  <c r="AB10" i="165"/>
  <c r="P31" i="188" a="1"/>
  <c r="P31" i="188"/>
  <c r="Y31" i="188" a="1"/>
  <c r="Y31" i="188"/>
  <c r="G15" i="164"/>
  <c r="V31" i="188" a="1"/>
  <c r="V31" i="188"/>
  <c r="S31" i="188" a="1"/>
  <c r="S31" i="188"/>
  <c r="M23" i="188" a="1"/>
  <c r="M23" i="188"/>
  <c r="Y34" i="188" a="1"/>
  <c r="Y34" i="188"/>
  <c r="AA6" i="182"/>
  <c r="AA11" i="182"/>
  <c r="Z16" i="160"/>
  <c r="AA6" i="160"/>
  <c r="AA11" i="160"/>
  <c r="AB15" i="172"/>
  <c r="AB16" i="172"/>
  <c r="AC6" i="172"/>
  <c r="AC11" i="172"/>
  <c r="G6" i="187"/>
  <c r="Z10" i="187"/>
  <c r="G12" i="185"/>
  <c r="P19" i="188" a="1"/>
  <c r="P19" i="188"/>
  <c r="G11" i="162"/>
  <c r="Z15" i="162"/>
  <c r="Z16" i="162"/>
  <c r="AA6" i="162"/>
  <c r="AA11" i="162"/>
  <c r="M20" i="188" a="1"/>
  <c r="M20" i="188"/>
  <c r="G20" i="188" a="1"/>
  <c r="G20" i="188"/>
  <c r="G10" i="186"/>
  <c r="J20" i="188" a="1"/>
  <c r="J20" i="188"/>
  <c r="P12" i="188" a="1"/>
  <c r="P12" i="188"/>
  <c r="Y12" i="188" a="1"/>
  <c r="Y12" i="188"/>
  <c r="V12" i="188" a="1"/>
  <c r="V12" i="188"/>
  <c r="G15" i="178"/>
  <c r="S12" i="188" a="1"/>
  <c r="S12" i="188"/>
  <c r="P35" i="188" a="1"/>
  <c r="P35" i="188"/>
  <c r="Y35" i="188" a="1"/>
  <c r="Y35" i="188"/>
  <c r="V35" i="188" a="1"/>
  <c r="V35" i="188"/>
  <c r="G15" i="159"/>
  <c r="S35" i="188" a="1"/>
  <c r="S35" i="188"/>
  <c r="V34" i="188" a="1"/>
  <c r="V34" i="188"/>
  <c r="G8" i="182"/>
  <c r="AC6" i="177"/>
  <c r="AC11" i="177"/>
  <c r="G8" i="178"/>
  <c r="Z10" i="178"/>
  <c r="AC6" i="179"/>
  <c r="AC11" i="179"/>
  <c r="AB15" i="159"/>
  <c r="AB16" i="159"/>
  <c r="AD16" i="172"/>
  <c r="AD16" i="162"/>
  <c r="G6" i="176"/>
  <c r="Z10" i="176"/>
  <c r="Z15" i="164"/>
  <c r="AD15" i="178"/>
  <c r="AD16" i="178"/>
  <c r="AE6" i="178"/>
  <c r="AE11" i="178"/>
  <c r="AB16" i="170"/>
  <c r="AD10" i="162"/>
  <c r="G8" i="162"/>
  <c r="G12" i="175"/>
  <c r="Z15" i="175"/>
  <c r="Z16" i="175"/>
  <c r="AA6" i="175"/>
  <c r="AA11" i="175"/>
  <c r="AB10" i="162"/>
  <c r="G6" i="162"/>
  <c r="I16" i="139"/>
  <c r="AD15" i="160"/>
  <c r="AD16" i="160"/>
  <c r="AE6" i="160"/>
  <c r="AE11" i="160"/>
  <c r="AE6" i="168"/>
  <c r="AE11" i="168"/>
  <c r="G6" i="167"/>
  <c r="AD10" i="167"/>
  <c r="Z16" i="159"/>
  <c r="S34" i="188" a="1"/>
  <c r="S34" i="188"/>
  <c r="AB16" i="189"/>
  <c r="AC6" i="189"/>
  <c r="AC11" i="189"/>
  <c r="P34" i="188" a="1"/>
  <c r="P34" i="188"/>
  <c r="G8" i="179"/>
  <c r="D13" i="188" a="1"/>
  <c r="D13" i="188"/>
  <c r="G6" i="177"/>
  <c r="Z10" i="177"/>
  <c r="Z16" i="177"/>
  <c r="I15" i="188"/>
  <c r="G12" i="172"/>
  <c r="Z15" i="172"/>
  <c r="Z16" i="172"/>
  <c r="AA6" i="172"/>
  <c r="AA11" i="172"/>
  <c r="AB15" i="167"/>
  <c r="AB16" i="167"/>
  <c r="AC6" i="167"/>
  <c r="AC11" i="167"/>
  <c r="G11" i="167"/>
  <c r="AD15" i="167"/>
  <c r="Y33" i="188" a="1"/>
  <c r="Y33" i="188"/>
  <c r="G15" i="160"/>
  <c r="P33" i="188" a="1"/>
  <c r="P33" i="188"/>
  <c r="V33" i="188" a="1"/>
  <c r="V33" i="188"/>
  <c r="S33" i="188" a="1"/>
  <c r="S33" i="188"/>
  <c r="AE6" i="139"/>
  <c r="AE11" i="139"/>
  <c r="G11" i="172"/>
  <c r="AB16" i="178"/>
  <c r="M16" i="179"/>
  <c r="Y16" i="166"/>
  <c r="G7" i="176"/>
  <c r="AB16" i="173"/>
  <c r="AC6" i="173"/>
  <c r="AC11" i="173"/>
  <c r="O16" i="164"/>
  <c r="K16" i="189"/>
  <c r="D18" i="188" a="1"/>
  <c r="D18" i="188"/>
  <c r="AB16" i="160"/>
  <c r="G12" i="181"/>
  <c r="AB15" i="181"/>
  <c r="AB16" i="181"/>
  <c r="AC6" i="181"/>
  <c r="AC11" i="181"/>
  <c r="K16" i="170"/>
  <c r="AD16" i="179"/>
  <c r="AE6" i="189"/>
  <c r="AE11" i="189"/>
  <c r="U26" i="188"/>
  <c r="W26" i="188"/>
  <c r="O19" i="188"/>
  <c r="X30" i="188"/>
  <c r="X32" i="188"/>
  <c r="X36" i="188"/>
  <c r="AD13" i="188"/>
  <c r="C13" i="188"/>
  <c r="Q18" i="188"/>
  <c r="O18" i="188"/>
  <c r="U35" i="188"/>
  <c r="G10" i="164"/>
  <c r="G16" i="164"/>
  <c r="G31" i="188" a="1"/>
  <c r="G31" i="188"/>
  <c r="Q31" i="188"/>
  <c r="J31" i="188" a="1"/>
  <c r="J31" i="188"/>
  <c r="D31" i="188" a="1"/>
  <c r="D31" i="188"/>
  <c r="M31" i="188" a="1"/>
  <c r="M31" i="188"/>
  <c r="O34" i="188"/>
  <c r="AF34" i="188"/>
  <c r="Q34" i="188"/>
  <c r="R12" i="188"/>
  <c r="AB16" i="161"/>
  <c r="AC6" i="161"/>
  <c r="AC11" i="161"/>
  <c r="C14" i="188"/>
  <c r="AD14" i="188"/>
  <c r="R9" i="188"/>
  <c r="X20" i="188"/>
  <c r="Z20" i="188"/>
  <c r="M13" i="188" a="1"/>
  <c r="M13" i="188"/>
  <c r="F27" i="188"/>
  <c r="X35" i="188"/>
  <c r="I13" i="188"/>
  <c r="I18" i="188"/>
  <c r="AC6" i="139"/>
  <c r="AC11" i="139"/>
  <c r="G15" i="172"/>
  <c r="G16" i="172"/>
  <c r="S27" i="188" a="1"/>
  <c r="S27" i="188"/>
  <c r="Y27" i="188" a="1"/>
  <c r="Y27" i="188"/>
  <c r="AA27" i="188"/>
  <c r="P27" i="188" a="1"/>
  <c r="P27" i="188"/>
  <c r="K27" i="188"/>
  <c r="V27" i="188" a="1"/>
  <c r="V27" i="188"/>
  <c r="X9" i="188"/>
  <c r="J8" i="188" a="1"/>
  <c r="J8" i="188"/>
  <c r="G10" i="174"/>
  <c r="M8" i="188" a="1"/>
  <c r="M8" i="188"/>
  <c r="G8" i="188" a="1"/>
  <c r="G8" i="188"/>
  <c r="D8" i="188" a="1"/>
  <c r="D8" i="188"/>
  <c r="U12" i="188"/>
  <c r="U9" i="188"/>
  <c r="U19" i="188"/>
  <c r="G19" i="188" a="1"/>
  <c r="G19" i="188"/>
  <c r="W19" i="188"/>
  <c r="M19" i="188" a="1"/>
  <c r="M19" i="188"/>
  <c r="G10" i="185"/>
  <c r="J19" i="188" a="1"/>
  <c r="J19" i="188"/>
  <c r="D19" i="188" a="1"/>
  <c r="D19" i="188"/>
  <c r="U33" i="188"/>
  <c r="X12" i="188"/>
  <c r="R31" i="188"/>
  <c r="F23" i="188"/>
  <c r="S25" i="188" a="1"/>
  <c r="S25" i="188"/>
  <c r="Y25" i="188" a="1"/>
  <c r="Y25" i="188"/>
  <c r="G15" i="170"/>
  <c r="V25" i="188" a="1"/>
  <c r="V25" i="188"/>
  <c r="P25" i="188" a="1"/>
  <c r="P25" i="188"/>
  <c r="AA6" i="174"/>
  <c r="AA11" i="174"/>
  <c r="S13" i="188" a="1"/>
  <c r="S13" i="188"/>
  <c r="V13" i="188" a="1"/>
  <c r="V13" i="188"/>
  <c r="E13" i="188"/>
  <c r="Y13" i="188" a="1"/>
  <c r="Y13" i="188"/>
  <c r="P13" i="188" a="1"/>
  <c r="P13" i="188"/>
  <c r="G15" i="179"/>
  <c r="G16" i="179"/>
  <c r="AF37" i="188"/>
  <c r="O37" i="188"/>
  <c r="G15" i="185"/>
  <c r="J9" i="188" a="1"/>
  <c r="J9" i="188"/>
  <c r="AA6" i="185"/>
  <c r="AA11" i="185"/>
  <c r="L18" i="188"/>
  <c r="G28" i="188" a="1"/>
  <c r="G28" i="188"/>
  <c r="D28" i="188" a="1"/>
  <c r="D28" i="188"/>
  <c r="J28" i="188" a="1"/>
  <c r="J28" i="188"/>
  <c r="G10" i="173"/>
  <c r="G16" i="173"/>
  <c r="M28" i="188" a="1"/>
  <c r="M28" i="188"/>
  <c r="O35" i="188"/>
  <c r="AF35" i="188"/>
  <c r="G13" i="188" a="1"/>
  <c r="G13" i="188"/>
  <c r="D10" i="188" a="1"/>
  <c r="D10" i="188"/>
  <c r="G10" i="176"/>
  <c r="M10" i="188" a="1"/>
  <c r="M10" i="188"/>
  <c r="J10" i="188" a="1"/>
  <c r="J10" i="188"/>
  <c r="G10" i="188" a="1"/>
  <c r="G10" i="188"/>
  <c r="Y21" i="188" a="1"/>
  <c r="Y21" i="188"/>
  <c r="S21" i="188" a="1"/>
  <c r="S21" i="188"/>
  <c r="G15" i="166"/>
  <c r="P21" i="188" a="1"/>
  <c r="P21" i="188"/>
  <c r="V21" i="188" a="1"/>
  <c r="V21" i="188"/>
  <c r="R33" i="188"/>
  <c r="T33" i="188"/>
  <c r="AF12" i="188"/>
  <c r="O12" i="188"/>
  <c r="S19" i="188" a="1"/>
  <c r="S19" i="188"/>
  <c r="G9" i="188" a="1"/>
  <c r="G9" i="188"/>
  <c r="L32" i="188"/>
  <c r="AD27" i="188"/>
  <c r="C27" i="188"/>
  <c r="X37" i="188"/>
  <c r="Y19" i="188" a="1"/>
  <c r="Y19" i="188"/>
  <c r="D9" i="188" a="1"/>
  <c r="D9" i="188"/>
  <c r="I17" i="188"/>
  <c r="K17" i="188"/>
  <c r="O9" i="188"/>
  <c r="AF9" i="188"/>
  <c r="Z16" i="164"/>
  <c r="AA6" i="164"/>
  <c r="AA11" i="164"/>
  <c r="U20" i="188"/>
  <c r="W20" i="188"/>
  <c r="Y17" i="188" a="1"/>
  <c r="Y17" i="188"/>
  <c r="P17" i="188" a="1"/>
  <c r="P17" i="188"/>
  <c r="V17" i="188" a="1"/>
  <c r="V17" i="188"/>
  <c r="H17" i="188"/>
  <c r="S17" i="188" a="1"/>
  <c r="S17" i="188"/>
  <c r="G15" i="183"/>
  <c r="AE6" i="175"/>
  <c r="AE11" i="175"/>
  <c r="N23" i="188"/>
  <c r="L23" i="188"/>
  <c r="I14" i="188"/>
  <c r="M9" i="188" a="1"/>
  <c r="M9" i="188"/>
  <c r="O33" i="188"/>
  <c r="AF33" i="188"/>
  <c r="P26" i="188" a="1"/>
  <c r="P26" i="188"/>
  <c r="AB16" i="139"/>
  <c r="G22" i="188" a="1"/>
  <c r="G22" i="188"/>
  <c r="M22" i="188" a="1"/>
  <c r="M22" i="188"/>
  <c r="G10" i="167"/>
  <c r="D22" i="188" a="1"/>
  <c r="D22" i="188"/>
  <c r="J22" i="188" a="1"/>
  <c r="J22" i="188"/>
  <c r="K20" i="188"/>
  <c r="I20" i="188"/>
  <c r="AC6" i="168"/>
  <c r="AC11" i="168"/>
  <c r="AB16" i="168"/>
  <c r="X33" i="188"/>
  <c r="Z33" i="188"/>
  <c r="Z16" i="178"/>
  <c r="AA6" i="178"/>
  <c r="AA11" i="178"/>
  <c r="G16" i="186"/>
  <c r="X31" i="188"/>
  <c r="Z31" i="188"/>
  <c r="S26" i="188" a="1"/>
  <c r="S26" i="188"/>
  <c r="S30" i="188" a="1"/>
  <c r="S30" i="188"/>
  <c r="Z16" i="185"/>
  <c r="G10" i="171"/>
  <c r="G16" i="171"/>
  <c r="J26" i="188" a="1"/>
  <c r="J26" i="188"/>
  <c r="D26" i="188" a="1"/>
  <c r="D26" i="188"/>
  <c r="M26" i="188" a="1"/>
  <c r="M26" i="188"/>
  <c r="G26" i="188" a="1"/>
  <c r="G26" i="188"/>
  <c r="R37" i="188"/>
  <c r="L17" i="188"/>
  <c r="N17" i="188"/>
  <c r="G10" i="189"/>
  <c r="G16" i="189"/>
  <c r="J37" i="188" a="1"/>
  <c r="J37" i="188"/>
  <c r="G37" i="188" a="1"/>
  <c r="G37" i="188"/>
  <c r="D37" i="188" a="1"/>
  <c r="D37" i="188"/>
  <c r="Q37" i="188"/>
  <c r="M37" i="188" a="1"/>
  <c r="M37" i="188"/>
  <c r="AB16" i="174"/>
  <c r="AC6" i="174"/>
  <c r="AC11" i="174"/>
  <c r="I27" i="188"/>
  <c r="L14" i="188"/>
  <c r="AE6" i="173"/>
  <c r="AE11" i="173"/>
  <c r="Z34" i="188"/>
  <c r="X34" i="188"/>
  <c r="F14" i="188"/>
  <c r="L27" i="188"/>
  <c r="N27" i="188"/>
  <c r="U31" i="188"/>
  <c r="D30" i="188" a="1"/>
  <c r="D30" i="188"/>
  <c r="Z30" i="188"/>
  <c r="G10" i="163"/>
  <c r="G16" i="163"/>
  <c r="J30" i="188" a="1"/>
  <c r="J30" i="188"/>
  <c r="M30" i="188" a="1"/>
  <c r="M30" i="188"/>
  <c r="G30" i="188" a="1"/>
  <c r="G30" i="188"/>
  <c r="Y26" i="188" a="1"/>
  <c r="Y26" i="188"/>
  <c r="AA6" i="163"/>
  <c r="AA11" i="163"/>
  <c r="G15" i="163"/>
  <c r="G15" i="169"/>
  <c r="P24" i="188" a="1"/>
  <c r="P24" i="188"/>
  <c r="V24" i="188" a="1"/>
  <c r="V24" i="188"/>
  <c r="Y24" i="188" a="1"/>
  <c r="Y24" i="188"/>
  <c r="S24" i="188" a="1"/>
  <c r="S24" i="188"/>
  <c r="S15" i="188" a="1"/>
  <c r="S15" i="188"/>
  <c r="V15" i="188" a="1"/>
  <c r="V15" i="188"/>
  <c r="P15" i="188" a="1"/>
  <c r="P15" i="188"/>
  <c r="Y15" i="188" a="1"/>
  <c r="Y15" i="188"/>
  <c r="G15" i="181"/>
  <c r="G16" i="181"/>
  <c r="AD16" i="167"/>
  <c r="AE6" i="167"/>
  <c r="AE11" i="167"/>
  <c r="F20" i="188"/>
  <c r="H20" i="188"/>
  <c r="AF31" i="188"/>
  <c r="O31" i="188"/>
  <c r="G15" i="171"/>
  <c r="AC6" i="176"/>
  <c r="AC11" i="176"/>
  <c r="P30" i="188" a="1"/>
  <c r="P30" i="188"/>
  <c r="U37" i="188"/>
  <c r="AA6" i="186"/>
  <c r="AA11" i="186"/>
  <c r="G16" i="183"/>
  <c r="Z16" i="176"/>
  <c r="AA6" i="176"/>
  <c r="AA11" i="176"/>
  <c r="F34" i="188"/>
  <c r="H34" i="188"/>
  <c r="M11" i="188" a="1"/>
  <c r="M11" i="188"/>
  <c r="G10" i="177"/>
  <c r="G16" i="177"/>
  <c r="D11" i="188" a="1"/>
  <c r="D11" i="188"/>
  <c r="T11" i="188"/>
  <c r="G11" i="188" a="1"/>
  <c r="G11" i="188"/>
  <c r="J11" i="188" a="1"/>
  <c r="J11" i="188"/>
  <c r="Q20" i="188"/>
  <c r="AF20" i="188"/>
  <c r="O20" i="188"/>
  <c r="R34" i="188"/>
  <c r="T34" i="188"/>
  <c r="G15" i="167"/>
  <c r="S22" i="188" a="1"/>
  <c r="S22" i="188"/>
  <c r="V22" i="188" a="1"/>
  <c r="V22" i="188"/>
  <c r="Y22" i="188" a="1"/>
  <c r="Y22" i="188"/>
  <c r="P22" i="188" a="1"/>
  <c r="P22" i="188"/>
  <c r="L20" i="188"/>
  <c r="N20" i="188"/>
  <c r="AC6" i="165"/>
  <c r="AC11" i="165"/>
  <c r="AB16" i="166"/>
  <c r="AC6" i="166"/>
  <c r="AC11" i="166"/>
  <c r="AC6" i="159"/>
  <c r="AC11" i="159"/>
  <c r="V30" i="188" a="1"/>
  <c r="V30" i="188"/>
  <c r="AE6" i="166"/>
  <c r="AE11" i="166"/>
  <c r="AE6" i="172"/>
  <c r="AE11" i="172"/>
  <c r="C20" i="188"/>
  <c r="AD20" i="188"/>
  <c r="AE20" i="188"/>
  <c r="E20" i="188"/>
  <c r="AA20" i="188"/>
  <c r="F17" i="188"/>
  <c r="P10" i="188" a="1"/>
  <c r="P10" i="188"/>
  <c r="V10" i="188" a="1"/>
  <c r="V10" i="188"/>
  <c r="G15" i="176"/>
  <c r="S10" i="188" a="1"/>
  <c r="S10" i="188"/>
  <c r="Y10" i="188" a="1"/>
  <c r="Y10" i="188"/>
  <c r="K34" i="188"/>
  <c r="I34" i="188"/>
  <c r="K23" i="188"/>
  <c r="I23" i="188"/>
  <c r="U36" i="188"/>
  <c r="V23" i="188" a="1"/>
  <c r="V23" i="188"/>
  <c r="H23" i="188"/>
  <c r="G15" i="168"/>
  <c r="G16" i="168"/>
  <c r="S23" i="188" a="1"/>
  <c r="S23" i="188"/>
  <c r="P23" i="188" a="1"/>
  <c r="P23" i="188"/>
  <c r="Y23" i="188" a="1"/>
  <c r="Y23" i="188"/>
  <c r="J24" i="188" a="1"/>
  <c r="J24" i="188"/>
  <c r="D24" i="188" a="1"/>
  <c r="D24" i="188"/>
  <c r="G10" i="169"/>
  <c r="G24" i="188" a="1"/>
  <c r="G24" i="188"/>
  <c r="M24" i="188" a="1"/>
  <c r="M24" i="188"/>
  <c r="T20" i="188"/>
  <c r="R20" i="188"/>
  <c r="AA32" i="188"/>
  <c r="AD32" i="188"/>
  <c r="C32" i="188"/>
  <c r="D7" i="188" a="1"/>
  <c r="D7" i="188"/>
  <c r="M7" i="188" a="1"/>
  <c r="M7" i="188"/>
  <c r="J7" i="188" a="1"/>
  <c r="J7" i="188"/>
  <c r="G7" i="188" a="1"/>
  <c r="G7" i="188"/>
  <c r="G10" i="139"/>
  <c r="R11" i="188"/>
  <c r="Y8" i="188" a="1"/>
  <c r="Y8" i="188"/>
  <c r="S8" i="188" a="1"/>
  <c r="S8" i="188"/>
  <c r="G15" i="174"/>
  <c r="V8" i="188" a="1"/>
  <c r="V8" i="188"/>
  <c r="P8" i="188" a="1"/>
  <c r="P8" i="188"/>
  <c r="Y29" i="188" a="1"/>
  <c r="Y29" i="188"/>
  <c r="V29" i="188" a="1"/>
  <c r="V29" i="188"/>
  <c r="P29" i="188" a="1"/>
  <c r="P29" i="188"/>
  <c r="G15" i="162"/>
  <c r="S29" i="188" a="1"/>
  <c r="S29" i="188"/>
  <c r="U11" i="188"/>
  <c r="AF36" i="188"/>
  <c r="O36" i="188"/>
  <c r="N34" i="188"/>
  <c r="L34" i="188"/>
  <c r="G10" i="182"/>
  <c r="G16" i="182"/>
  <c r="D16" i="188" a="1"/>
  <c r="D16" i="188"/>
  <c r="G16" i="188" a="1"/>
  <c r="G16" i="188"/>
  <c r="J16" i="188" a="1"/>
  <c r="J16" i="188"/>
  <c r="Q16" i="188"/>
  <c r="M16" i="188" a="1"/>
  <c r="M16" i="188"/>
  <c r="Z16" i="161"/>
  <c r="AA6" i="161"/>
  <c r="AA11" i="161"/>
  <c r="R18" i="188"/>
  <c r="T18" i="188"/>
  <c r="J25" i="188" a="1"/>
  <c r="J25" i="188"/>
  <c r="D25" i="188" a="1"/>
  <c r="D25" i="188"/>
  <c r="G10" i="170"/>
  <c r="G16" i="170"/>
  <c r="G25" i="188" a="1"/>
  <c r="G25" i="188"/>
  <c r="M25" i="188" a="1"/>
  <c r="M25" i="188"/>
  <c r="R36" i="188"/>
  <c r="AD34" i="188"/>
  <c r="AE34" i="188"/>
  <c r="E34" i="188"/>
  <c r="C34" i="188"/>
  <c r="AA34" i="188"/>
  <c r="V18" i="188" a="1"/>
  <c r="V18" i="188"/>
  <c r="D12" i="188" a="1"/>
  <c r="D12" i="188"/>
  <c r="T12" i="188"/>
  <c r="M12" i="188" a="1"/>
  <c r="M12" i="188"/>
  <c r="G10" i="178"/>
  <c r="G16" i="178"/>
  <c r="J12" i="188" a="1"/>
  <c r="J12" i="188"/>
  <c r="G12" i="188" a="1"/>
  <c r="G12" i="188"/>
  <c r="G15" i="187"/>
  <c r="R35" i="188"/>
  <c r="T35" i="188"/>
  <c r="Y18" i="188" a="1"/>
  <c r="Y18" i="188"/>
  <c r="K18" i="188"/>
  <c r="J33" i="188" a="1"/>
  <c r="J33" i="188"/>
  <c r="D33" i="188" a="1"/>
  <c r="D33" i="188"/>
  <c r="G10" i="160"/>
  <c r="G16" i="160"/>
  <c r="M33" i="188" a="1"/>
  <c r="M33" i="188"/>
  <c r="G33" i="188" a="1"/>
  <c r="G33" i="188"/>
  <c r="G10" i="159"/>
  <c r="G16" i="159"/>
  <c r="D35" i="188" a="1"/>
  <c r="D35" i="188"/>
  <c r="G35" i="188" a="1"/>
  <c r="G35" i="188"/>
  <c r="J35" i="188" a="1"/>
  <c r="J35" i="188"/>
  <c r="M35" i="188" a="1"/>
  <c r="M35" i="188"/>
  <c r="P32" i="188" a="1"/>
  <c r="P32" i="188"/>
  <c r="R16" i="188"/>
  <c r="T16" i="188"/>
  <c r="Z16" i="171"/>
  <c r="AA6" i="171"/>
  <c r="AA11" i="171"/>
  <c r="AA6" i="177"/>
  <c r="AA11" i="177"/>
  <c r="C18" i="188"/>
  <c r="AA18" i="188"/>
  <c r="AD18" i="188"/>
  <c r="E18" i="188"/>
  <c r="G10" i="162"/>
  <c r="G16" i="162"/>
  <c r="D29" i="188" a="1"/>
  <c r="D29" i="188"/>
  <c r="G29" i="188" a="1"/>
  <c r="G29" i="188"/>
  <c r="M29" i="188" a="1"/>
  <c r="M29" i="188"/>
  <c r="J29" i="188" a="1"/>
  <c r="J29" i="188"/>
  <c r="C23" i="188"/>
  <c r="AD23" i="188"/>
  <c r="AA23" i="188"/>
  <c r="E23" i="188"/>
  <c r="J21" i="188" a="1"/>
  <c r="J21" i="188"/>
  <c r="D21" i="188" a="1"/>
  <c r="D21" i="188"/>
  <c r="M21" i="188" a="1"/>
  <c r="M21" i="188"/>
  <c r="G10" i="166"/>
  <c r="G16" i="166"/>
  <c r="G21" i="188" a="1"/>
  <c r="G21" i="188"/>
  <c r="C17" i="188"/>
  <c r="AD17" i="188"/>
  <c r="E17" i="188"/>
  <c r="AA17" i="188"/>
  <c r="AD16" i="173"/>
  <c r="AC6" i="170"/>
  <c r="AC11" i="170"/>
  <c r="U32" i="188"/>
  <c r="O16" i="188"/>
  <c r="AF16" i="188"/>
  <c r="V7" i="188" a="1"/>
  <c r="V7" i="188"/>
  <c r="P7" i="188" a="1"/>
  <c r="P7" i="188"/>
  <c r="G15" i="139"/>
  <c r="Y7" i="188" a="1"/>
  <c r="Y7" i="188"/>
  <c r="S7" i="188" a="1"/>
  <c r="S7" i="188"/>
  <c r="X11" i="188"/>
  <c r="AC6" i="178"/>
  <c r="AC11" i="178"/>
  <c r="U16" i="188"/>
  <c r="AB16" i="165"/>
  <c r="U34" i="188"/>
  <c r="W34" i="188"/>
  <c r="AC6" i="160"/>
  <c r="AC11" i="160"/>
  <c r="R32" i="188"/>
  <c r="G15" i="180"/>
  <c r="G16" i="180"/>
  <c r="S14" i="188" a="1"/>
  <c r="S14" i="188"/>
  <c r="P14" i="188" a="1"/>
  <c r="P14" i="188"/>
  <c r="Y14" i="188" a="1"/>
  <c r="Y14" i="188"/>
  <c r="V14" i="188" a="1"/>
  <c r="V14" i="188"/>
  <c r="E14" i="188"/>
  <c r="Z16" i="187"/>
  <c r="AA6" i="187"/>
  <c r="AA11" i="187"/>
  <c r="AE6" i="162"/>
  <c r="AE11" i="162"/>
  <c r="M36" i="188" a="1"/>
  <c r="M36" i="188"/>
  <c r="D36" i="188" a="1"/>
  <c r="D36" i="188"/>
  <c r="Q36" i="188"/>
  <c r="G36" i="188" a="1"/>
  <c r="G36" i="188"/>
  <c r="G10" i="187"/>
  <c r="J36" i="188" a="1"/>
  <c r="J36" i="188"/>
  <c r="F32" i="188"/>
  <c r="P28" i="188" a="1"/>
  <c r="P28" i="188"/>
  <c r="G15" i="173"/>
  <c r="Y28" i="188" a="1"/>
  <c r="Y28" i="188"/>
  <c r="S28" i="188" a="1"/>
  <c r="S28" i="188"/>
  <c r="V28" i="188" a="1"/>
  <c r="V28" i="188"/>
  <c r="AA6" i="159"/>
  <c r="AA11" i="159"/>
  <c r="Z16" i="188"/>
  <c r="X16" i="188"/>
  <c r="AC6" i="171"/>
  <c r="AC11" i="171"/>
  <c r="AB16" i="162"/>
  <c r="AC6" i="162"/>
  <c r="AC11" i="162"/>
  <c r="AA9" i="188"/>
  <c r="AD9" i="188"/>
  <c r="AE9" i="188"/>
  <c r="E9" i="188"/>
  <c r="C9" i="188"/>
  <c r="Q32" i="188"/>
  <c r="AF32" i="188"/>
  <c r="AG32" i="188"/>
  <c r="O32" i="188"/>
  <c r="Z10" i="188"/>
  <c r="X10" i="188"/>
  <c r="R15" i="188"/>
  <c r="T15" i="188"/>
  <c r="Z19" i="188"/>
  <c r="X19" i="188"/>
  <c r="O21" i="188"/>
  <c r="AF21" i="188"/>
  <c r="AG21" i="188"/>
  <c r="Q21" i="188"/>
  <c r="H28" i="188"/>
  <c r="F28" i="188"/>
  <c r="X25" i="188"/>
  <c r="Z25" i="188"/>
  <c r="W9" i="188"/>
  <c r="AA13" i="188"/>
  <c r="AF29" i="188"/>
  <c r="O29" i="188"/>
  <c r="Q29" i="188"/>
  <c r="K12" i="188"/>
  <c r="I12" i="188"/>
  <c r="I21" i="188"/>
  <c r="K21" i="188"/>
  <c r="Q22" i="188"/>
  <c r="O22" i="188"/>
  <c r="AF22" i="188"/>
  <c r="AG22" i="188"/>
  <c r="R21" i="188"/>
  <c r="T21" i="188"/>
  <c r="K13" i="188"/>
  <c r="AE13" i="188"/>
  <c r="T28" i="188"/>
  <c r="R28" i="188"/>
  <c r="H35" i="188"/>
  <c r="F35" i="188"/>
  <c r="U18" i="188"/>
  <c r="W18" i="188"/>
  <c r="H16" i="188"/>
  <c r="F16" i="188"/>
  <c r="H24" i="188"/>
  <c r="F24" i="188"/>
  <c r="W10" i="188"/>
  <c r="U10" i="188"/>
  <c r="W22" i="188"/>
  <c r="U22" i="188"/>
  <c r="U24" i="188"/>
  <c r="W24" i="188"/>
  <c r="L26" i="188"/>
  <c r="N26" i="188"/>
  <c r="X21" i="188"/>
  <c r="Z21" i="188"/>
  <c r="W12" i="188"/>
  <c r="Z36" i="188"/>
  <c r="L9" i="188"/>
  <c r="N9" i="188"/>
  <c r="AA14" i="188"/>
  <c r="AE32" i="188"/>
  <c r="AD21" i="188"/>
  <c r="C21" i="188"/>
  <c r="AA21" i="188"/>
  <c r="E21" i="188"/>
  <c r="P38" i="188"/>
  <c r="AF7" i="188"/>
  <c r="Q7" i="188"/>
  <c r="O7" i="188"/>
  <c r="I16" i="188"/>
  <c r="K16" i="188"/>
  <c r="X28" i="188"/>
  <c r="Z28" i="188"/>
  <c r="C35" i="188"/>
  <c r="E35" i="188"/>
  <c r="AA35" i="188"/>
  <c r="AD35" i="188"/>
  <c r="AE35" i="188"/>
  <c r="C16" i="188"/>
  <c r="AD16" i="188"/>
  <c r="AE16" i="188"/>
  <c r="AA16" i="188"/>
  <c r="E16" i="188"/>
  <c r="T8" i="188"/>
  <c r="R8" i="188"/>
  <c r="G16" i="169"/>
  <c r="O10" i="188"/>
  <c r="Q10" i="188"/>
  <c r="AF10" i="188"/>
  <c r="AG10" i="188"/>
  <c r="T22" i="188"/>
  <c r="R22" i="188"/>
  <c r="W37" i="188"/>
  <c r="O24" i="188"/>
  <c r="Q24" i="188"/>
  <c r="AF24" i="188"/>
  <c r="AA26" i="188"/>
  <c r="C26" i="188"/>
  <c r="AD26" i="188"/>
  <c r="E26" i="188"/>
  <c r="I22" i="188"/>
  <c r="K22" i="188"/>
  <c r="T17" i="188"/>
  <c r="R17" i="188"/>
  <c r="AE27" i="188"/>
  <c r="H10" i="188"/>
  <c r="F10" i="188"/>
  <c r="I9" i="188"/>
  <c r="K9" i="188"/>
  <c r="T31" i="188"/>
  <c r="AD8" i="188"/>
  <c r="E8" i="188"/>
  <c r="C8" i="188"/>
  <c r="AA8" i="188"/>
  <c r="Z35" i="188"/>
  <c r="E28" i="188"/>
  <c r="AA28" i="188"/>
  <c r="AD28" i="188"/>
  <c r="C28" i="188"/>
  <c r="F8" i="188"/>
  <c r="H8" i="188"/>
  <c r="AG34" i="188"/>
  <c r="Z32" i="188"/>
  <c r="H19" i="188"/>
  <c r="F19" i="188"/>
  <c r="I28" i="188"/>
  <c r="K28" i="188"/>
  <c r="Z29" i="188"/>
  <c r="X29" i="188"/>
  <c r="U21" i="188"/>
  <c r="W21" i="188"/>
  <c r="AF14" i="188"/>
  <c r="AG14" i="188"/>
  <c r="Q14" i="188"/>
  <c r="O14" i="188"/>
  <c r="L16" i="188"/>
  <c r="N16" i="188"/>
  <c r="T24" i="188"/>
  <c r="R24" i="188"/>
  <c r="T37" i="188"/>
  <c r="N18" i="188"/>
  <c r="AA12" i="188"/>
  <c r="E12" i="188"/>
  <c r="C12" i="188"/>
  <c r="AD12" i="188"/>
  <c r="AE12" i="188"/>
  <c r="Z24" i="188"/>
  <c r="X24" i="188"/>
  <c r="I29" i="188"/>
  <c r="K29" i="188"/>
  <c r="X8" i="188"/>
  <c r="Z8" i="188"/>
  <c r="C22" i="188"/>
  <c r="E22" i="188"/>
  <c r="AD22" i="188"/>
  <c r="AA22" i="188"/>
  <c r="E27" i="188"/>
  <c r="N29" i="188"/>
  <c r="L29" i="188"/>
  <c r="I24" i="188"/>
  <c r="K24" i="188"/>
  <c r="N14" i="188"/>
  <c r="G16" i="167"/>
  <c r="O17" i="188"/>
  <c r="AF17" i="188"/>
  <c r="AG17" i="188"/>
  <c r="Q17" i="188"/>
  <c r="N10" i="188"/>
  <c r="L10" i="188"/>
  <c r="N8" i="188"/>
  <c r="L8" i="188"/>
  <c r="R7" i="188"/>
  <c r="S38" i="188"/>
  <c r="T7" i="188"/>
  <c r="U25" i="188"/>
  <c r="W25" i="188"/>
  <c r="Z7" i="188"/>
  <c r="X7" i="188"/>
  <c r="Y38" i="188"/>
  <c r="Z38" i="188"/>
  <c r="N35" i="188"/>
  <c r="L35" i="188"/>
  <c r="T10" i="188"/>
  <c r="R10" i="188"/>
  <c r="R25" i="188"/>
  <c r="T25" i="188"/>
  <c r="U28" i="188"/>
  <c r="W28" i="188"/>
  <c r="L24" i="188"/>
  <c r="N24" i="188"/>
  <c r="F26" i="188"/>
  <c r="H26" i="188"/>
  <c r="T32" i="188"/>
  <c r="AD24" i="188"/>
  <c r="AE24" i="188"/>
  <c r="E24" i="188"/>
  <c r="C24" i="188"/>
  <c r="AA24" i="188"/>
  <c r="K26" i="188"/>
  <c r="I26" i="188"/>
  <c r="H33" i="188"/>
  <c r="F33" i="188"/>
  <c r="H32" i="188"/>
  <c r="H18" i="188"/>
  <c r="W32" i="188"/>
  <c r="H29" i="188"/>
  <c r="F29" i="188"/>
  <c r="N33" i="188"/>
  <c r="L33" i="188"/>
  <c r="Z23" i="188"/>
  <c r="X23" i="188"/>
  <c r="N22" i="188"/>
  <c r="L22" i="188"/>
  <c r="Z17" i="188"/>
  <c r="X17" i="188"/>
  <c r="G16" i="176"/>
  <c r="Z12" i="188"/>
  <c r="G16" i="174"/>
  <c r="H27" i="188"/>
  <c r="L31" i="188"/>
  <c r="N31" i="188"/>
  <c r="AF25" i="188"/>
  <c r="O25" i="188"/>
  <c r="Q25" i="188"/>
  <c r="U29" i="188"/>
  <c r="W29" i="188"/>
  <c r="L12" i="188"/>
  <c r="N12" i="188"/>
  <c r="U7" i="188"/>
  <c r="W7" i="188"/>
  <c r="V38" i="188"/>
  <c r="W8" i="188"/>
  <c r="U8" i="188"/>
  <c r="H14" i="188"/>
  <c r="Z37" i="188"/>
  <c r="Q30" i="188"/>
  <c r="AF30" i="188"/>
  <c r="AG30" i="188"/>
  <c r="O30" i="188"/>
  <c r="U17" i="188"/>
  <c r="W17" i="188"/>
  <c r="G16" i="139"/>
  <c r="Q23" i="188"/>
  <c r="AF23" i="188"/>
  <c r="AG23" i="188"/>
  <c r="O23" i="188"/>
  <c r="Z26" i="188"/>
  <c r="X26" i="188"/>
  <c r="T30" i="188"/>
  <c r="R30" i="188"/>
  <c r="H22" i="188"/>
  <c r="F22" i="188"/>
  <c r="N32" i="188"/>
  <c r="C10" i="188"/>
  <c r="AA10" i="188"/>
  <c r="AD10" i="188"/>
  <c r="E10" i="188"/>
  <c r="I8" i="188"/>
  <c r="K8" i="188"/>
  <c r="N13" i="188"/>
  <c r="L13" i="188"/>
  <c r="C31" i="188"/>
  <c r="AD31" i="188"/>
  <c r="AE31" i="188"/>
  <c r="E31" i="188"/>
  <c r="AA31" i="188"/>
  <c r="W14" i="188"/>
  <c r="U14" i="188"/>
  <c r="AF15" i="188"/>
  <c r="Q15" i="188"/>
  <c r="O15" i="188"/>
  <c r="N15" i="188"/>
  <c r="K15" i="188"/>
  <c r="E15" i="188"/>
  <c r="H15" i="188"/>
  <c r="K14" i="188"/>
  <c r="Z14" i="188"/>
  <c r="X14" i="188"/>
  <c r="U15" i="188"/>
  <c r="W15" i="188"/>
  <c r="AA15" i="188"/>
  <c r="T14" i="188"/>
  <c r="R14" i="188"/>
  <c r="O8" i="188"/>
  <c r="Q8" i="188"/>
  <c r="AF8" i="188"/>
  <c r="AG8" i="188"/>
  <c r="K35" i="188"/>
  <c r="I35" i="188"/>
  <c r="Z22" i="188"/>
  <c r="X22" i="188"/>
  <c r="K10" i="188"/>
  <c r="I10" i="188"/>
  <c r="Q28" i="188"/>
  <c r="AF28" i="188"/>
  <c r="AG28" i="188"/>
  <c r="O28" i="188"/>
  <c r="C29" i="188"/>
  <c r="E29" i="188"/>
  <c r="AA29" i="188"/>
  <c r="AD29" i="188"/>
  <c r="AE29" i="188"/>
  <c r="K36" i="188"/>
  <c r="I36" i="188"/>
  <c r="E33" i="188"/>
  <c r="AA33" i="188"/>
  <c r="AD33" i="188"/>
  <c r="AE33" i="188"/>
  <c r="C33" i="188"/>
  <c r="T36" i="188"/>
  <c r="F7" i="188"/>
  <c r="H7" i="188"/>
  <c r="G38" i="188"/>
  <c r="H38" i="188"/>
  <c r="T23" i="188"/>
  <c r="R23" i="188"/>
  <c r="AG20" i="188"/>
  <c r="H30" i="188"/>
  <c r="F30" i="188"/>
  <c r="R26" i="188"/>
  <c r="T26" i="188"/>
  <c r="F13" i="188"/>
  <c r="H13" i="188"/>
  <c r="W33" i="188"/>
  <c r="Z9" i="188"/>
  <c r="I31" i="188"/>
  <c r="K31" i="188"/>
  <c r="X15" i="188"/>
  <c r="Z15" i="188"/>
  <c r="H12" i="188"/>
  <c r="F12" i="188"/>
  <c r="G16" i="187"/>
  <c r="L25" i="188"/>
  <c r="N25" i="188"/>
  <c r="K7" i="188"/>
  <c r="J38" i="188"/>
  <c r="I7" i="188"/>
  <c r="AG31" i="188"/>
  <c r="N30" i="188"/>
  <c r="L30" i="188"/>
  <c r="AF26" i="188"/>
  <c r="AG26" i="188"/>
  <c r="O26" i="188"/>
  <c r="Q26" i="188"/>
  <c r="H9" i="188"/>
  <c r="F9" i="188"/>
  <c r="Q13" i="188"/>
  <c r="O13" i="188"/>
  <c r="AF13" i="188"/>
  <c r="AG13" i="188"/>
  <c r="F31" i="188"/>
  <c r="H31" i="188"/>
  <c r="AF19" i="188"/>
  <c r="AG19" i="188"/>
  <c r="L21" i="188"/>
  <c r="N21" i="188"/>
  <c r="I33" i="188"/>
  <c r="K33" i="188"/>
  <c r="H36" i="188"/>
  <c r="F36" i="188"/>
  <c r="W16" i="188"/>
  <c r="AE18" i="188"/>
  <c r="X18" i="188"/>
  <c r="Z18" i="188"/>
  <c r="F25" i="188"/>
  <c r="H25" i="188"/>
  <c r="L7" i="188"/>
  <c r="N7" i="188"/>
  <c r="M38" i="188"/>
  <c r="U23" i="188"/>
  <c r="W23" i="188"/>
  <c r="I11" i="188"/>
  <c r="K11" i="188"/>
  <c r="I30" i="188"/>
  <c r="K30" i="188"/>
  <c r="L37" i="188"/>
  <c r="N37" i="188"/>
  <c r="AG9" i="188"/>
  <c r="R19" i="188"/>
  <c r="T19" i="188"/>
  <c r="Q35" i="188"/>
  <c r="X13" i="188"/>
  <c r="Z13" i="188"/>
  <c r="E19" i="188"/>
  <c r="AA19" i="188"/>
  <c r="C19" i="188"/>
  <c r="AD19" i="188"/>
  <c r="U27" i="188"/>
  <c r="W27" i="188"/>
  <c r="T9" i="188"/>
  <c r="Q19" i="188"/>
  <c r="E7" i="188"/>
  <c r="AA7" i="188"/>
  <c r="D38" i="188"/>
  <c r="AD7" i="188"/>
  <c r="C7" i="188"/>
  <c r="L11" i="188"/>
  <c r="N11" i="188"/>
  <c r="E36" i="188"/>
  <c r="AA36" i="188"/>
  <c r="C36" i="188"/>
  <c r="AD36" i="188"/>
  <c r="AE36" i="188"/>
  <c r="AE17" i="188"/>
  <c r="W11" i="188"/>
  <c r="W36" i="188"/>
  <c r="F11" i="188"/>
  <c r="H11" i="188"/>
  <c r="E37" i="188"/>
  <c r="AD37" i="188"/>
  <c r="AE37" i="188"/>
  <c r="C37" i="188"/>
  <c r="AA37" i="188"/>
  <c r="Q9" i="188"/>
  <c r="Q12" i="188"/>
  <c r="AG35" i="188"/>
  <c r="U13" i="188"/>
  <c r="W13" i="188"/>
  <c r="K19" i="188"/>
  <c r="I19" i="188"/>
  <c r="O27" i="188"/>
  <c r="AF27" i="188"/>
  <c r="AG27" i="188"/>
  <c r="Q27" i="188"/>
  <c r="W35" i="188"/>
  <c r="L36" i="188"/>
  <c r="N36" i="188"/>
  <c r="AA25" i="188"/>
  <c r="AD25" i="188"/>
  <c r="AE25" i="188"/>
  <c r="C25" i="188"/>
  <c r="E25" i="188"/>
  <c r="T29" i="188"/>
  <c r="R29" i="188"/>
  <c r="W30" i="188"/>
  <c r="U30" i="188"/>
  <c r="AA11" i="188"/>
  <c r="E11" i="188"/>
  <c r="AD11" i="188"/>
  <c r="C11" i="188"/>
  <c r="Q11" i="188"/>
  <c r="E30" i="188"/>
  <c r="AD30" i="188"/>
  <c r="AA30" i="188"/>
  <c r="C30" i="188"/>
  <c r="F37" i="188"/>
  <c r="H37" i="188"/>
  <c r="T13" i="188"/>
  <c r="R13" i="188"/>
  <c r="G16" i="185"/>
  <c r="Z27" i="188"/>
  <c r="X27" i="188"/>
  <c r="AE14" i="188"/>
  <c r="Z11" i="188"/>
  <c r="F21" i="188"/>
  <c r="H21" i="188"/>
  <c r="K32" i="188"/>
  <c r="K25" i="188"/>
  <c r="I25" i="188"/>
  <c r="E32" i="188"/>
  <c r="W31" i="188"/>
  <c r="I37" i="188"/>
  <c r="K37" i="188"/>
  <c r="Q33" i="188"/>
  <c r="N28" i="188"/>
  <c r="L28" i="188"/>
  <c r="L19" i="188"/>
  <c r="N19" i="188"/>
  <c r="T27" i="188"/>
  <c r="R27" i="188"/>
  <c r="AF18" i="188"/>
  <c r="AG18" i="188"/>
  <c r="N38" i="188"/>
  <c r="AE30" i="188"/>
  <c r="AG36" i="188"/>
  <c r="W38" i="188"/>
  <c r="AE10" i="188"/>
  <c r="AE19" i="188"/>
  <c r="AE28" i="188"/>
  <c r="AE22" i="188"/>
  <c r="AE26" i="188"/>
  <c r="AE21" i="188"/>
  <c r="T38" i="188"/>
  <c r="AG15" i="188"/>
  <c r="AE15" i="188"/>
  <c r="AE11" i="188"/>
  <c r="AG11" i="188"/>
  <c r="AG24" i="188"/>
  <c r="AG12" i="188"/>
  <c r="AG29" i="188"/>
  <c r="AL10" i="188"/>
  <c r="AL13" i="188"/>
  <c r="AL8" i="188"/>
  <c r="AL15" i="188"/>
  <c r="AL12" i="188"/>
  <c r="AL11" i="188"/>
  <c r="AL14" i="188"/>
  <c r="AL9" i="188"/>
  <c r="AL7" i="188"/>
  <c r="AG7" i="188"/>
  <c r="AF38" i="188"/>
  <c r="AG37" i="188"/>
  <c r="AJ8" i="188"/>
  <c r="AJ9" i="188"/>
  <c r="AJ10" i="188"/>
  <c r="AJ15" i="188"/>
  <c r="AJ14" i="188"/>
  <c r="AJ12" i="188"/>
  <c r="AJ7" i="188"/>
  <c r="AJ13" i="188"/>
  <c r="AJ11" i="188"/>
  <c r="AD38" i="188"/>
  <c r="AE38" i="188"/>
  <c r="AE7" i="188"/>
  <c r="AE23" i="188"/>
  <c r="AG33" i="188"/>
  <c r="E38" i="188"/>
  <c r="AG25" i="188"/>
  <c r="Q38" i="188"/>
  <c r="AG16" i="188"/>
  <c r="AE8" i="188"/>
  <c r="AA38" i="188"/>
  <c r="K38" i="188"/>
  <c r="AJ16" i="188"/>
  <c r="AG38" i="188"/>
  <c r="AL16" i="188"/>
</calcChain>
</file>

<file path=xl/sharedStrings.xml><?xml version="1.0" encoding="utf-8"?>
<sst xmlns="http://schemas.openxmlformats.org/spreadsheetml/2006/main" count="3618" uniqueCount="184">
  <si>
    <t>구분</t>
    <phoneticPr fontId="2" type="noConversion"/>
  </si>
  <si>
    <t>1. 원료 처리 현황</t>
    <phoneticPr fontId="2" type="noConversion"/>
  </si>
  <si>
    <t>기준
중량
(kg)</t>
    <phoneticPr fontId="2" type="noConversion"/>
  </si>
  <si>
    <t>전일
재공량</t>
    <phoneticPr fontId="2" type="noConversion"/>
  </si>
  <si>
    <t>금일
재공량</t>
    <phoneticPr fontId="2" type="noConversion"/>
  </si>
  <si>
    <t>일 원료
처리량</t>
    <phoneticPr fontId="2" type="noConversion"/>
  </si>
  <si>
    <t>합계</t>
    <phoneticPr fontId="2" type="noConversion"/>
  </si>
  <si>
    <t>Bale</t>
    <phoneticPr fontId="2" type="noConversion"/>
  </si>
  <si>
    <t>중량</t>
    <phoneticPr fontId="2" type="noConversion"/>
  </si>
  <si>
    <t>배합비</t>
    <phoneticPr fontId="2" type="noConversion"/>
  </si>
  <si>
    <t>LBKP</t>
    <phoneticPr fontId="2" type="noConversion"/>
  </si>
  <si>
    <t>비데원지</t>
    <phoneticPr fontId="2" type="noConversion"/>
  </si>
  <si>
    <t>미용티슈</t>
    <phoneticPr fontId="2" type="noConversion"/>
  </si>
  <si>
    <t>3R</t>
    <phoneticPr fontId="2" type="noConversion"/>
  </si>
  <si>
    <t>소계</t>
    <phoneticPr fontId="2" type="noConversion"/>
  </si>
  <si>
    <t>NBKP</t>
    <phoneticPr fontId="2" type="noConversion"/>
  </si>
  <si>
    <t>소계</t>
    <phoneticPr fontId="2" type="noConversion"/>
  </si>
  <si>
    <t>펄프 합계</t>
    <phoneticPr fontId="2" type="noConversion"/>
  </si>
  <si>
    <t>비고</t>
    <phoneticPr fontId="2" type="noConversion"/>
  </si>
  <si>
    <t>전일 이월량</t>
    <phoneticPr fontId="2" type="noConversion"/>
  </si>
  <si>
    <t>오전</t>
    <phoneticPr fontId="2" type="noConversion"/>
  </si>
  <si>
    <t>입고량</t>
    <phoneticPr fontId="2" type="noConversion"/>
  </si>
  <si>
    <t>사용량</t>
    <phoneticPr fontId="2" type="noConversion"/>
  </si>
  <si>
    <t>재고량</t>
    <phoneticPr fontId="2" type="noConversion"/>
  </si>
  <si>
    <t>오후</t>
    <phoneticPr fontId="2" type="noConversion"/>
  </si>
  <si>
    <t>야간</t>
    <phoneticPr fontId="2" type="noConversion"/>
  </si>
  <si>
    <t>총 사용량</t>
    <phoneticPr fontId="2" type="noConversion"/>
  </si>
  <si>
    <t>총 거래 수량</t>
    <phoneticPr fontId="2" type="noConversion"/>
  </si>
  <si>
    <t>2. 원료 관리 현황</t>
    <phoneticPr fontId="2" type="noConversion"/>
  </si>
  <si>
    <t>펄프 종류</t>
    <phoneticPr fontId="2" type="noConversion"/>
  </si>
  <si>
    <t>N-PULP(Soft Wood)</t>
    <phoneticPr fontId="2" type="noConversion"/>
  </si>
  <si>
    <t>L-PULP(Hard Wood)</t>
    <phoneticPr fontId="2" type="noConversion"/>
  </si>
  <si>
    <t>브랜드 명</t>
    <phoneticPr fontId="2" type="noConversion"/>
  </si>
  <si>
    <t>Arauco</t>
    <phoneticPr fontId="2" type="noConversion"/>
  </si>
  <si>
    <t>수자노</t>
    <phoneticPr fontId="2" type="noConversion"/>
  </si>
  <si>
    <t>브라츠크</t>
    <phoneticPr fontId="2" type="noConversion"/>
  </si>
  <si>
    <t>Guaiba</t>
    <phoneticPr fontId="2" type="noConversion"/>
  </si>
  <si>
    <t>아카시아APP</t>
  </si>
  <si>
    <t>PCMC</t>
    <phoneticPr fontId="2" type="noConversion"/>
  </si>
  <si>
    <t>야간(      반)</t>
    <phoneticPr fontId="2" type="noConversion"/>
  </si>
  <si>
    <t>멧자</t>
  </si>
  <si>
    <t>Ilimsk</t>
  </si>
  <si>
    <t>수자노</t>
  </si>
  <si>
    <t>Acacia</t>
  </si>
  <si>
    <t>일림</t>
  </si>
  <si>
    <t>데코</t>
    <phoneticPr fontId="2" type="noConversion"/>
  </si>
  <si>
    <t>K/T</t>
    <phoneticPr fontId="2" type="noConversion"/>
  </si>
  <si>
    <t>WET PULP</t>
    <phoneticPr fontId="2" type="noConversion"/>
  </si>
  <si>
    <t>멧자</t>
    <phoneticPr fontId="2" type="noConversion"/>
  </si>
  <si>
    <t>아카시아APP</t>
    <phoneticPr fontId="2" type="noConversion"/>
  </si>
  <si>
    <t>Pacifico</t>
    <phoneticPr fontId="2" type="noConversion"/>
  </si>
  <si>
    <t>크라프튼</t>
    <phoneticPr fontId="2" type="noConversion"/>
  </si>
  <si>
    <t>비랄</t>
    <phoneticPr fontId="2" type="noConversion"/>
  </si>
  <si>
    <t>데코</t>
  </si>
  <si>
    <t>일림</t>
    <phoneticPr fontId="2" type="noConversion"/>
  </si>
  <si>
    <t>WET PULP</t>
  </si>
  <si>
    <t>오후(      반)</t>
    <phoneticPr fontId="2" type="noConversion"/>
  </si>
  <si>
    <t>오전(      반)</t>
    <phoneticPr fontId="2" type="noConversion"/>
  </si>
  <si>
    <t>◈ 원질4호기 원료처리 작업 일지</t>
    <phoneticPr fontId="2" type="noConversion"/>
  </si>
  <si>
    <t>투입합</t>
    <phoneticPr fontId="2" type="noConversion"/>
  </si>
  <si>
    <t>일자</t>
    <phoneticPr fontId="2" type="noConversion"/>
  </si>
  <si>
    <t>원료명</t>
    <phoneticPr fontId="2" type="noConversion"/>
  </si>
  <si>
    <t>비율</t>
    <phoneticPr fontId="2" type="noConversion"/>
  </si>
  <si>
    <t>사용량</t>
    <phoneticPr fontId="2" type="noConversion"/>
  </si>
  <si>
    <t>비율</t>
    <phoneticPr fontId="2" type="noConversion"/>
  </si>
  <si>
    <t>월 결산</t>
    <phoneticPr fontId="2" type="noConversion"/>
  </si>
  <si>
    <t>NBKP</t>
    <phoneticPr fontId="6" type="noConversion"/>
  </si>
  <si>
    <t>비율</t>
    <phoneticPr fontId="6" type="noConversion"/>
  </si>
  <si>
    <t>재고량</t>
    <phoneticPr fontId="5" type="noConversion"/>
  </si>
  <si>
    <t>사용량</t>
    <phoneticPr fontId="6" type="noConversion"/>
  </si>
  <si>
    <t>일자</t>
    <phoneticPr fontId="6" type="noConversion"/>
  </si>
  <si>
    <t>LBKP</t>
    <phoneticPr fontId="6" type="noConversion"/>
  </si>
  <si>
    <t>구분</t>
    <phoneticPr fontId="6" type="noConversion"/>
  </si>
  <si>
    <t>월 결산</t>
    <phoneticPr fontId="6" type="noConversion"/>
  </si>
  <si>
    <t xml:space="preserve"> ■ 원료 별 사용량</t>
    <phoneticPr fontId="6" type="noConversion"/>
  </si>
  <si>
    <t xml:space="preserve"> ■ 일자 별 비율</t>
    <phoneticPr fontId="6" type="noConversion"/>
  </si>
  <si>
    <t>Acacia</t>
    <phoneticPr fontId="6" type="noConversion"/>
  </si>
  <si>
    <t>수자노</t>
    <phoneticPr fontId="6" type="noConversion"/>
  </si>
  <si>
    <t>아카시아APP</t>
    <phoneticPr fontId="6" type="noConversion"/>
  </si>
  <si>
    <t>Santafe</t>
    <phoneticPr fontId="6" type="noConversion"/>
  </si>
  <si>
    <t>기타</t>
    <phoneticPr fontId="6" type="noConversion"/>
  </si>
  <si>
    <t>브라츠크</t>
    <phoneticPr fontId="6" type="noConversion"/>
  </si>
  <si>
    <t>WET PULP</t>
    <phoneticPr fontId="6" type="noConversion"/>
  </si>
  <si>
    <t>멧자</t>
    <phoneticPr fontId="6" type="noConversion"/>
  </si>
  <si>
    <t>PCMC</t>
    <phoneticPr fontId="6" type="noConversion"/>
  </si>
  <si>
    <t>Pacifico</t>
    <phoneticPr fontId="6" type="noConversion"/>
  </si>
  <si>
    <t>limsk</t>
    <phoneticPr fontId="6" type="noConversion"/>
  </si>
  <si>
    <t>사용량</t>
    <phoneticPr fontId="6" type="noConversion"/>
  </si>
  <si>
    <t>원료 명</t>
    <phoneticPr fontId="6" type="noConversion"/>
  </si>
  <si>
    <t>총 합계</t>
    <phoneticPr fontId="6" type="noConversion"/>
  </si>
  <si>
    <t>Guaiba</t>
    <phoneticPr fontId="6" type="noConversion"/>
  </si>
  <si>
    <t>※ 초지 펄프 배합비율</t>
    <phoneticPr fontId="2" type="noConversion"/>
  </si>
  <si>
    <t>피스리버</t>
  </si>
  <si>
    <t>Guaiba</t>
  </si>
  <si>
    <t>WET(LBKP)</t>
  </si>
  <si>
    <t>Acacia</t>
    <phoneticPr fontId="2" type="noConversion"/>
  </si>
  <si>
    <t>Santafe</t>
    <phoneticPr fontId="2" type="noConversion"/>
  </si>
  <si>
    <t>Ilimsk</t>
    <phoneticPr fontId="2" type="noConversion"/>
  </si>
  <si>
    <t>하우사운드</t>
    <phoneticPr fontId="2" type="noConversion"/>
  </si>
  <si>
    <t>피스리버</t>
    <phoneticPr fontId="2" type="noConversion"/>
  </si>
  <si>
    <t>NBKP</t>
    <phoneticPr fontId="5" type="noConversion"/>
  </si>
  <si>
    <t>LBKP</t>
    <phoneticPr fontId="5" type="noConversion"/>
  </si>
  <si>
    <t>WET(LBKP)</t>
    <phoneticPr fontId="5" type="noConversion"/>
  </si>
  <si>
    <t>K/T</t>
  </si>
  <si>
    <t>WET(LBKP)</t>
    <phoneticPr fontId="6" type="noConversion"/>
  </si>
  <si>
    <t>하우사운드</t>
    <phoneticPr fontId="6" type="noConversion"/>
  </si>
  <si>
    <t>일림</t>
    <phoneticPr fontId="6" type="noConversion"/>
  </si>
  <si>
    <t>피스리버</t>
    <phoneticPr fontId="6" type="noConversion"/>
  </si>
  <si>
    <t>K/T</t>
    <phoneticPr fontId="7" type="noConversion"/>
  </si>
  <si>
    <t>2026 년 01 월 01 일</t>
  </si>
  <si>
    <t>2026 년 01 월 02 일</t>
  </si>
  <si>
    <t>2026 년 01 월 03 일</t>
  </si>
  <si>
    <t>2026 년 01 월 04 일</t>
  </si>
  <si>
    <t>2026 년 01 월 05 일</t>
  </si>
  <si>
    <t>2026 년 01 월 06 일</t>
  </si>
  <si>
    <t>2026 년 01 월 07 일</t>
  </si>
  <si>
    <t>2026 년 01 월 08 일</t>
  </si>
  <si>
    <t>2026 년 01 월 09 일</t>
  </si>
  <si>
    <t>2026 년 01 월 10 일</t>
  </si>
  <si>
    <t>2026 년 01 월 11 일</t>
  </si>
  <si>
    <t>2026 년 01 월 12 일</t>
  </si>
  <si>
    <t>2026 년 01 월 13 일</t>
  </si>
  <si>
    <t>2026 년 01 월 14 일</t>
  </si>
  <si>
    <t>2026 년 01 월 16 일</t>
  </si>
  <si>
    <t>2026 년 01 월 15 일</t>
  </si>
  <si>
    <t>2026 년 01 월 17 일</t>
  </si>
  <si>
    <t>2026 년 01 월 18 일</t>
  </si>
  <si>
    <t>2026 년 01 월 19 일</t>
  </si>
  <si>
    <t>2026 년 01 월 20 일</t>
  </si>
  <si>
    <t>2026 년 01 월 21 일</t>
  </si>
  <si>
    <t>2026 년 01 월 22 일</t>
  </si>
  <si>
    <t>2026 년 01 월 23 일</t>
  </si>
  <si>
    <t>2026 년 01 월 24 일</t>
  </si>
  <si>
    <t>2026 년 01 월 25 일</t>
  </si>
  <si>
    <t>2026 년 01 월 26 일</t>
  </si>
  <si>
    <t>2026 년 01 월 27 일</t>
  </si>
  <si>
    <t>2026 년 01 월 28 일</t>
  </si>
  <si>
    <t>2026 년 01 월 29 일</t>
  </si>
  <si>
    <t>2026 년 01 월 30 일</t>
  </si>
  <si>
    <t>2026 년 01 월 31 일</t>
  </si>
  <si>
    <t>생산사양SEQ</t>
  </si>
  <si>
    <t>설비</t>
  </si>
  <si>
    <t>날짜</t>
  </si>
  <si>
    <t>시간</t>
  </si>
  <si>
    <t>LBKP</t>
  </si>
  <si>
    <t/>
  </si>
  <si>
    <t>NBKP</t>
  </si>
  <si>
    <t>총사용량</t>
  </si>
  <si>
    <t>총비율</t>
  </si>
  <si>
    <t>원료명</t>
  </si>
  <si>
    <t>사용량</t>
  </si>
  <si>
    <t>비율</t>
  </si>
  <si>
    <t>PROD_KEY</t>
  </si>
  <si>
    <t>MACH_CD</t>
  </si>
  <si>
    <t>MSRM_DATE</t>
  </si>
  <si>
    <t>MSRM_TIME</t>
  </si>
  <si>
    <t>MAT_NM_1</t>
  </si>
  <si>
    <t>USE_QTY_1</t>
  </si>
  <si>
    <t>MIX_RATE_1</t>
  </si>
  <si>
    <t>MAT_NM_2</t>
  </si>
  <si>
    <t>USE_QTY_2</t>
  </si>
  <si>
    <t>MIX_RATE_2</t>
  </si>
  <si>
    <t>MAT_NM_3</t>
  </si>
  <si>
    <t>USE_QTY_3</t>
  </si>
  <si>
    <t>MIX_RATE_3</t>
  </si>
  <si>
    <t>MAT_NM_4</t>
  </si>
  <si>
    <t>USE_QTY_4</t>
  </si>
  <si>
    <t>MIX_RATE_4</t>
  </si>
  <si>
    <t>MAT_NM_5</t>
  </si>
  <si>
    <t>USE_QTY_5</t>
  </si>
  <si>
    <t>MIX_RATE_5</t>
  </si>
  <si>
    <t>MAT_NM_6</t>
  </si>
  <si>
    <t>USE_QTY_6</t>
  </si>
  <si>
    <t>MIX_RATE_6</t>
  </si>
  <si>
    <t>MAT_NM_7</t>
  </si>
  <si>
    <t>USE_QTY_7</t>
  </si>
  <si>
    <t>MIX_RATE_7</t>
  </si>
  <si>
    <t>MAT_NM_8</t>
  </si>
  <si>
    <t>USE_QTY_8</t>
  </si>
  <si>
    <t>MIX_RATE_8</t>
  </si>
  <si>
    <t>TOTAL_USE</t>
  </si>
  <si>
    <t>TOTAL_RATE</t>
  </si>
  <si>
    <t>TAA03</t>
    <phoneticPr fontId="9" type="noConversion"/>
  </si>
  <si>
    <t>TAA03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</si>
</sst>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7" formatCode="0.0%"/>
    <numFmt numFmtId="186" formatCode="_-* #,##0.0_-;\-* #,##0.0_-;_-* &quot;-&quot;?_-;_-@_-"/>
  </numFmts>
  <fonts count="20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Verdana"/>
      <family val="2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dashed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218">
    <xf numFmtId="0" fontId="0" fillId="0" borderId="0" xfId="0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41" fontId="4" fillId="0" borderId="1" xfId="3" applyFont="1" applyFill="1" applyBorder="1" applyAlignment="1">
      <alignment horizontal="center" vertical="center"/>
    </xf>
    <xf numFmtId="41" fontId="14" fillId="0" borderId="1" xfId="3" applyFont="1" applyFill="1" applyBorder="1" applyAlignment="1">
      <alignment horizontal="center" vertical="center"/>
    </xf>
    <xf numFmtId="41" fontId="14" fillId="2" borderId="1" xfId="3" applyFont="1" applyFill="1" applyBorder="1" applyAlignment="1">
      <alignment horizontal="center" vertical="center"/>
    </xf>
    <xf numFmtId="41" fontId="14" fillId="0" borderId="2" xfId="3" applyFont="1" applyFill="1" applyBorder="1" applyAlignment="1">
      <alignment horizontal="center" vertical="center"/>
    </xf>
    <xf numFmtId="41" fontId="14" fillId="2" borderId="2" xfId="3" applyFont="1" applyFill="1" applyBorder="1" applyAlignment="1">
      <alignment horizontal="center" vertical="center"/>
    </xf>
    <xf numFmtId="177" fontId="10" fillId="0" borderId="3" xfId="2" applyNumberFormat="1" applyFont="1" applyBorder="1" applyAlignment="1">
      <alignment horizontal="center" vertical="center"/>
    </xf>
    <xf numFmtId="177" fontId="10" fillId="0" borderId="4" xfId="2" applyNumberFormat="1" applyFont="1" applyBorder="1" applyAlignment="1">
      <alignment horizontal="center" vertical="center"/>
    </xf>
    <xf numFmtId="41" fontId="0" fillId="0" borderId="5" xfId="0" applyNumberFormat="1" applyBorder="1" applyAlignment="1">
      <alignment horizontal="center" vertical="center"/>
    </xf>
    <xf numFmtId="41" fontId="0" fillId="3" borderId="6" xfId="0" applyNumberForma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86" fontId="14" fillId="0" borderId="1" xfId="3" applyNumberFormat="1" applyFont="1" applyFill="1" applyBorder="1" applyAlignment="1">
      <alignment horizontal="right"/>
    </xf>
    <xf numFmtId="186" fontId="14" fillId="0" borderId="2" xfId="3" applyNumberFormat="1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5" fillId="0" borderId="0" xfId="0" applyFont="1" applyFill="1" applyBorder="1" applyAlignment="1">
      <alignment horizontal="center" vertical="center"/>
    </xf>
    <xf numFmtId="41" fontId="10" fillId="0" borderId="3" xfId="2" applyNumberFormat="1" applyFont="1" applyBorder="1" applyAlignment="1">
      <alignment horizontal="center" vertical="center"/>
    </xf>
    <xf numFmtId="41" fontId="0" fillId="0" borderId="8" xfId="0" applyNumberForma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41" fontId="0" fillId="0" borderId="6" xfId="0" applyNumberFormat="1" applyBorder="1">
      <alignment vertical="center"/>
    </xf>
    <xf numFmtId="41" fontId="0" fillId="4" borderId="5" xfId="0" applyNumberFormat="1" applyFill="1" applyBorder="1" applyAlignment="1">
      <alignment horizontal="center" vertical="center"/>
    </xf>
    <xf numFmtId="177" fontId="10" fillId="4" borderId="3" xfId="2" applyNumberFormat="1" applyFont="1" applyFill="1" applyBorder="1" applyAlignment="1">
      <alignment horizontal="center" vertical="center"/>
    </xf>
    <xf numFmtId="177" fontId="10" fillId="4" borderId="4" xfId="2" applyNumberFormat="1" applyFont="1" applyFill="1" applyBorder="1" applyAlignment="1">
      <alignment horizontal="center" vertical="center"/>
    </xf>
    <xf numFmtId="0" fontId="10" fillId="4" borderId="3" xfId="2" applyNumberFormat="1" applyFont="1" applyFill="1" applyBorder="1" applyAlignment="1">
      <alignment horizontal="center" vertical="center"/>
    </xf>
    <xf numFmtId="0" fontId="0" fillId="4" borderId="8" xfId="0" applyNumberForma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41" fontId="0" fillId="0" borderId="12" xfId="0" applyNumberFormat="1" applyBorder="1" applyAlignment="1">
      <alignment horizontal="center" vertical="center"/>
    </xf>
    <xf numFmtId="41" fontId="0" fillId="0" borderId="15" xfId="0" applyNumberFormat="1" applyBorder="1" applyAlignment="1">
      <alignment horizontal="center" vertical="center"/>
    </xf>
    <xf numFmtId="41" fontId="0" fillId="0" borderId="16" xfId="0" applyNumberFormat="1" applyBorder="1" applyAlignment="1">
      <alignment horizontal="center" vertical="center"/>
    </xf>
    <xf numFmtId="41" fontId="0" fillId="0" borderId="13" xfId="0" applyNumberFormat="1" applyBorder="1" applyAlignment="1">
      <alignment horizontal="center" vertical="center"/>
    </xf>
    <xf numFmtId="177" fontId="0" fillId="4" borderId="17" xfId="0" applyNumberFormat="1" applyFill="1" applyBorder="1">
      <alignment vertical="center"/>
    </xf>
    <xf numFmtId="177" fontId="0" fillId="4" borderId="16" xfId="0" applyNumberFormat="1" applyFill="1" applyBorder="1">
      <alignment vertical="center"/>
    </xf>
    <xf numFmtId="41" fontId="0" fillId="4" borderId="17" xfId="0" applyNumberFormat="1" applyFill="1" applyBorder="1">
      <alignment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1" fillId="3" borderId="8" xfId="0" applyFont="1" applyFill="1" applyBorder="1" applyAlignment="1">
      <alignment horizontal="center" vertical="center"/>
    </xf>
    <xf numFmtId="177" fontId="10" fillId="0" borderId="6" xfId="1" applyNumberFormat="1" applyFont="1" applyBorder="1">
      <alignment vertical="center"/>
    </xf>
    <xf numFmtId="177" fontId="10" fillId="0" borderId="13" xfId="1" applyNumberFormat="1" applyFont="1" applyBorder="1">
      <alignment vertical="center"/>
    </xf>
    <xf numFmtId="0" fontId="15" fillId="0" borderId="18" xfId="0" applyFont="1" applyBorder="1">
      <alignment vertical="center"/>
    </xf>
    <xf numFmtId="0" fontId="15" fillId="0" borderId="0" xfId="0" applyFont="1">
      <alignment vertical="center"/>
    </xf>
    <xf numFmtId="0" fontId="15" fillId="0" borderId="0" xfId="0" applyFont="1" applyBorder="1" applyAlignment="1">
      <alignment horizontal="left" vertical="center"/>
    </xf>
    <xf numFmtId="0" fontId="15" fillId="0" borderId="0" xfId="0" applyFont="1" applyBorder="1">
      <alignment vertical="center"/>
    </xf>
    <xf numFmtId="0" fontId="14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41" fontId="14" fillId="0" borderId="21" xfId="0" applyNumberFormat="1" applyFont="1" applyFill="1" applyBorder="1" applyAlignment="1">
      <alignment horizontal="center" vertical="center"/>
    </xf>
    <xf numFmtId="41" fontId="14" fillId="0" borderId="22" xfId="0" applyNumberFormat="1" applyFont="1" applyFill="1" applyBorder="1">
      <alignment vertical="center"/>
    </xf>
    <xf numFmtId="41" fontId="14" fillId="0" borderId="23" xfId="0" applyNumberFormat="1" applyFont="1" applyFill="1" applyBorder="1">
      <alignment vertical="center"/>
    </xf>
    <xf numFmtId="0" fontId="14" fillId="2" borderId="24" xfId="0" applyFont="1" applyFill="1" applyBorder="1" applyAlignment="1">
      <alignment horizontal="center" vertical="center"/>
    </xf>
    <xf numFmtId="41" fontId="14" fillId="0" borderId="25" xfId="0" applyNumberFormat="1" applyFont="1" applyFill="1" applyBorder="1">
      <alignment vertical="center"/>
    </xf>
    <xf numFmtId="41" fontId="14" fillId="0" borderId="26" xfId="0" applyNumberFormat="1" applyFont="1" applyFill="1" applyBorder="1">
      <alignment vertical="center"/>
    </xf>
    <xf numFmtId="0" fontId="14" fillId="2" borderId="2" xfId="0" applyFont="1" applyFill="1" applyBorder="1">
      <alignment vertical="center"/>
    </xf>
    <xf numFmtId="0" fontId="14" fillId="0" borderId="9" xfId="0" applyFont="1" applyFill="1" applyBorder="1" applyAlignment="1">
      <alignment horizontal="center" vertical="center"/>
    </xf>
    <xf numFmtId="41" fontId="14" fillId="0" borderId="27" xfId="0" applyNumberFormat="1" applyFont="1" applyFill="1" applyBorder="1">
      <alignment vertical="center"/>
    </xf>
    <xf numFmtId="41" fontId="14" fillId="0" borderId="28" xfId="0" applyNumberFormat="1" applyFont="1" applyFill="1" applyBorder="1" applyAlignment="1">
      <alignment horizontal="center" vertical="center"/>
    </xf>
    <xf numFmtId="41" fontId="14" fillId="0" borderId="29" xfId="0" applyNumberFormat="1" applyFont="1" applyFill="1" applyBorder="1" applyAlignment="1">
      <alignment horizontal="center" vertical="center"/>
    </xf>
    <xf numFmtId="41" fontId="14" fillId="0" borderId="30" xfId="0" applyNumberFormat="1" applyFont="1" applyFill="1" applyBorder="1" applyAlignment="1">
      <alignment horizontal="center" vertical="center"/>
    </xf>
    <xf numFmtId="41" fontId="14" fillId="0" borderId="31" xfId="0" applyNumberFormat="1" applyFont="1" applyFill="1" applyBorder="1" applyAlignment="1">
      <alignment horizontal="center" vertical="center"/>
    </xf>
    <xf numFmtId="41" fontId="14" fillId="0" borderId="32" xfId="0" applyNumberFormat="1" applyFont="1" applyFill="1" applyBorder="1" applyAlignment="1">
      <alignment horizontal="center" vertical="center"/>
    </xf>
    <xf numFmtId="41" fontId="14" fillId="0" borderId="31" xfId="0" applyNumberFormat="1" applyFont="1" applyFill="1" applyBorder="1">
      <alignment vertical="center"/>
    </xf>
    <xf numFmtId="41" fontId="14" fillId="0" borderId="28" xfId="0" applyNumberFormat="1" applyFont="1" applyFill="1" applyBorder="1">
      <alignment vertical="center"/>
    </xf>
    <xf numFmtId="41" fontId="14" fillId="0" borderId="32" xfId="0" applyNumberFormat="1" applyFont="1" applyFill="1" applyBorder="1">
      <alignment vertical="center"/>
    </xf>
    <xf numFmtId="0" fontId="14" fillId="2" borderId="33" xfId="0" applyFont="1" applyFill="1" applyBorder="1" applyAlignment="1">
      <alignment horizontal="center" vertical="center"/>
    </xf>
    <xf numFmtId="41" fontId="14" fillId="0" borderId="34" xfId="0" applyNumberFormat="1" applyFont="1" applyFill="1" applyBorder="1" applyAlignment="1">
      <alignment horizontal="center" vertical="center"/>
    </xf>
    <xf numFmtId="0" fontId="14" fillId="2" borderId="35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41" fontId="14" fillId="0" borderId="34" xfId="0" applyNumberFormat="1" applyFont="1" applyFill="1" applyBorder="1">
      <alignment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0" borderId="9" xfId="0" applyFont="1" applyFill="1" applyBorder="1">
      <alignment vertical="center"/>
    </xf>
    <xf numFmtId="41" fontId="14" fillId="0" borderId="38" xfId="0" applyNumberFormat="1" applyFont="1" applyFill="1" applyBorder="1">
      <alignment vertical="center"/>
    </xf>
    <xf numFmtId="41" fontId="15" fillId="0" borderId="6" xfId="0" applyNumberFormat="1" applyFont="1" applyFill="1" applyBorder="1" applyAlignment="1">
      <alignment horizontal="center" vertical="center"/>
    </xf>
    <xf numFmtId="41" fontId="14" fillId="0" borderId="6" xfId="0" applyNumberFormat="1" applyFont="1" applyFill="1" applyBorder="1">
      <alignment vertical="center"/>
    </xf>
    <xf numFmtId="41" fontId="14" fillId="0" borderId="39" xfId="0" applyNumberFormat="1" applyFont="1" applyFill="1" applyBorder="1">
      <alignment vertical="center"/>
    </xf>
    <xf numFmtId="41" fontId="14" fillId="0" borderId="19" xfId="0" applyNumberFormat="1" applyFont="1" applyFill="1" applyBorder="1">
      <alignment vertical="center"/>
    </xf>
    <xf numFmtId="41" fontId="14" fillId="0" borderId="4" xfId="0" applyNumberFormat="1" applyFont="1" applyFill="1" applyBorder="1">
      <alignment vertical="center"/>
    </xf>
    <xf numFmtId="41" fontId="14" fillId="0" borderId="5" xfId="0" applyNumberFormat="1" applyFont="1" applyFill="1" applyBorder="1">
      <alignment vertical="center"/>
    </xf>
    <xf numFmtId="0" fontId="14" fillId="0" borderId="1" xfId="3" applyNumberFormat="1" applyFont="1" applyFill="1" applyBorder="1" applyAlignment="1">
      <alignment horizontal="center" vertical="center"/>
    </xf>
    <xf numFmtId="0" fontId="14" fillId="0" borderId="2" xfId="3" applyNumberFormat="1" applyFont="1" applyFill="1" applyBorder="1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/>
    </xf>
    <xf numFmtId="0" fontId="15" fillId="0" borderId="7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0" fontId="15" fillId="0" borderId="18" xfId="0" applyNumberFormat="1" applyFont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/>
    </xf>
    <xf numFmtId="0" fontId="8" fillId="0" borderId="0" xfId="0" applyFont="1" applyAlignment="1"/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41" fontId="0" fillId="0" borderId="0" xfId="0" applyNumberFormat="1">
      <alignment vertical="center"/>
    </xf>
    <xf numFmtId="9" fontId="10" fillId="0" borderId="0" xfId="1" applyFont="1">
      <alignment vertical="center"/>
    </xf>
    <xf numFmtId="9" fontId="0" fillId="0" borderId="0" xfId="0" applyNumberFormat="1">
      <alignment vertical="center"/>
    </xf>
    <xf numFmtId="9" fontId="10" fillId="0" borderId="0" xfId="1" applyFont="1">
      <alignment vertical="center"/>
    </xf>
    <xf numFmtId="0" fontId="13" fillId="0" borderId="67" xfId="0" applyFont="1" applyBorder="1" applyAlignment="1">
      <alignment horizontal="right" vertical="center"/>
    </xf>
    <xf numFmtId="0" fontId="15" fillId="0" borderId="6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 wrapText="1"/>
    </xf>
    <xf numFmtId="0" fontId="15" fillId="0" borderId="69" xfId="0" applyFont="1" applyFill="1" applyBorder="1" applyAlignment="1">
      <alignment horizontal="center" vertical="center" wrapText="1"/>
    </xf>
    <xf numFmtId="0" fontId="15" fillId="0" borderId="70" xfId="0" applyFont="1" applyFill="1" applyBorder="1" applyAlignment="1">
      <alignment horizontal="center" vertical="center" wrapText="1"/>
    </xf>
    <xf numFmtId="0" fontId="15" fillId="0" borderId="71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177" fontId="14" fillId="0" borderId="23" xfId="2" applyNumberFormat="1" applyFont="1" applyFill="1" applyBorder="1" applyAlignment="1">
      <alignment horizontal="center" vertical="center"/>
    </xf>
    <xf numFmtId="177" fontId="14" fillId="0" borderId="26" xfId="2" applyNumberFormat="1" applyFont="1" applyFill="1" applyBorder="1" applyAlignment="1">
      <alignment horizontal="center" vertical="center"/>
    </xf>
    <xf numFmtId="177" fontId="14" fillId="0" borderId="32" xfId="2" applyNumberFormat="1" applyFont="1" applyFill="1" applyBorder="1" applyAlignment="1">
      <alignment horizontal="center" vertical="center"/>
    </xf>
    <xf numFmtId="177" fontId="14" fillId="0" borderId="68" xfId="2" applyNumberFormat="1" applyFont="1" applyFill="1" applyBorder="1" applyAlignment="1">
      <alignment horizontal="center" vertical="center"/>
    </xf>
    <xf numFmtId="177" fontId="14" fillId="0" borderId="47" xfId="2" applyNumberFormat="1" applyFont="1" applyFill="1" applyBorder="1" applyAlignment="1">
      <alignment horizontal="center" vertical="center"/>
    </xf>
    <xf numFmtId="177" fontId="14" fillId="0" borderId="63" xfId="2" applyNumberFormat="1" applyFont="1" applyFill="1" applyBorder="1" applyAlignment="1">
      <alignment horizontal="center" vertical="center"/>
    </xf>
    <xf numFmtId="177" fontId="14" fillId="0" borderId="54" xfId="2" applyNumberFormat="1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65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55" xfId="0" applyFont="1" applyFill="1" applyBorder="1" applyAlignment="1">
      <alignment horizontal="center" vertical="center"/>
    </xf>
    <xf numFmtId="0" fontId="11" fillId="0" borderId="66" xfId="0" applyFont="1" applyFill="1" applyBorder="1" applyAlignment="1">
      <alignment horizontal="center" vertical="center"/>
    </xf>
    <xf numFmtId="0" fontId="11" fillId="0" borderId="56" xfId="0" applyFont="1" applyFill="1" applyBorder="1" applyAlignment="1">
      <alignment horizontal="center" vertical="center"/>
    </xf>
    <xf numFmtId="0" fontId="11" fillId="0" borderId="5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58" xfId="0" applyFont="1" applyFill="1" applyBorder="1" applyAlignment="1">
      <alignment horizontal="center" vertical="center"/>
    </xf>
    <xf numFmtId="0" fontId="11" fillId="0" borderId="59" xfId="0" applyFont="1" applyFill="1" applyBorder="1" applyAlignment="1">
      <alignment horizontal="center" vertical="center"/>
    </xf>
    <xf numFmtId="0" fontId="11" fillId="0" borderId="67" xfId="0" applyFont="1" applyFill="1" applyBorder="1" applyAlignment="1">
      <alignment horizontal="center" vertical="center"/>
    </xf>
    <xf numFmtId="0" fontId="11" fillId="0" borderId="60" xfId="0" applyFont="1" applyFill="1" applyBorder="1" applyAlignment="1">
      <alignment horizontal="center" vertical="center"/>
    </xf>
    <xf numFmtId="0" fontId="11" fillId="0" borderId="65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horizontal="center" vertical="center"/>
    </xf>
    <xf numFmtId="0" fontId="11" fillId="0" borderId="48" xfId="0" applyFont="1" applyFill="1" applyBorder="1" applyAlignment="1">
      <alignment horizontal="center" vertical="center"/>
    </xf>
    <xf numFmtId="0" fontId="11" fillId="0" borderId="49" xfId="0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horizontal="center" vertical="center"/>
    </xf>
    <xf numFmtId="0" fontId="18" fillId="4" borderId="47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11" fillId="0" borderId="61" xfId="0" applyFont="1" applyFill="1" applyBorder="1" applyAlignment="1">
      <alignment horizontal="center" vertical="center"/>
    </xf>
    <xf numFmtId="0" fontId="11" fillId="0" borderId="62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18" fillId="4" borderId="26" xfId="0" applyFont="1" applyFill="1" applyBorder="1" applyAlignment="1">
      <alignment horizontal="center" vertical="center"/>
    </xf>
    <xf numFmtId="0" fontId="18" fillId="4" borderId="63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62" xfId="0" applyFill="1" applyBorder="1" applyAlignment="1">
      <alignment horizontal="center" vertical="center"/>
    </xf>
    <xf numFmtId="0" fontId="0" fillId="0" borderId="64" xfId="0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51" xfId="0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horizontal="center" vertical="center"/>
    </xf>
    <xf numFmtId="0" fontId="18" fillId="4" borderId="54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11" fillId="0" borderId="44" xfId="0" applyFont="1" applyFill="1" applyBorder="1" applyAlignment="1">
      <alignment horizontal="center" vertical="center"/>
    </xf>
    <xf numFmtId="0" fontId="11" fillId="0" borderId="45" xfId="0" applyFont="1" applyFill="1" applyBorder="1" applyAlignment="1">
      <alignment horizontal="center" vertical="center"/>
    </xf>
    <xf numFmtId="0" fontId="11" fillId="0" borderId="64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1" fillId="3" borderId="69" xfId="0" applyFont="1" applyFill="1" applyBorder="1" applyAlignment="1">
      <alignment horizontal="center" vertical="center"/>
    </xf>
    <xf numFmtId="0" fontId="11" fillId="3" borderId="71" xfId="0" applyFont="1" applyFill="1" applyBorder="1" applyAlignment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7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1" fillId="3" borderId="70" xfId="0" applyFont="1" applyFill="1" applyBorder="1" applyAlignment="1">
      <alignment horizontal="center" vertical="center"/>
    </xf>
    <xf numFmtId="0" fontId="11" fillId="3" borderId="72" xfId="0" applyFont="1" applyFill="1" applyBorder="1" applyAlignment="1">
      <alignment horizontal="center" vertical="center"/>
    </xf>
    <xf numFmtId="0" fontId="11" fillId="3" borderId="73" xfId="0" applyFont="1" applyFill="1" applyBorder="1" applyAlignment="1">
      <alignment horizontal="center" vertical="center"/>
    </xf>
    <xf numFmtId="0" fontId="11" fillId="3" borderId="74" xfId="0" applyFont="1" applyFill="1" applyBorder="1" applyAlignment="1">
      <alignment horizontal="center" vertical="center"/>
    </xf>
    <xf numFmtId="0" fontId="11" fillId="3" borderId="75" xfId="0" applyFont="1" applyFill="1" applyBorder="1" applyAlignment="1">
      <alignment horizontal="center" vertical="center"/>
    </xf>
    <xf numFmtId="0" fontId="11" fillId="3" borderId="76" xfId="0" applyFont="1" applyFill="1" applyBorder="1" applyAlignment="1">
      <alignment horizontal="center" vertical="center"/>
    </xf>
    <xf numFmtId="0" fontId="11" fillId="3" borderId="77" xfId="0" applyFont="1" applyFill="1" applyBorder="1" applyAlignment="1">
      <alignment horizontal="center" vertical="center"/>
    </xf>
    <xf numFmtId="0" fontId="11" fillId="3" borderId="7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79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8" fillId="0" borderId="0" xfId="0" applyFont="1" applyAlignment="1"/>
  </cellXfs>
  <cellStyles count="4">
    <cellStyle name="백분율" xfId="1" builtinId="5"/>
    <cellStyle name="백분율 2" xfId="2"/>
    <cellStyle name="쉼표 [0]" xfId="3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theme/theme1.xml" Type="http://schemas.openxmlformats.org/officeDocument/2006/relationships/theme"/><Relationship Id="rId35" Target="styles.xml" Type="http://schemas.openxmlformats.org/officeDocument/2006/relationships/styles"/><Relationship Id="rId36" Target="sharedStrings.xml" Type="http://schemas.openxmlformats.org/officeDocument/2006/relationships/sharedStrings"/><Relationship Id="rId37" Target="calcChain.xml" Type="http://schemas.openxmlformats.org/officeDocument/2006/relationships/calcChain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zoomScale="85" zoomScaleNormal="85" workbookViewId="0">
      <selection activeCell="AA38" sqref="AA38:AE3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109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58" t="s">
        <v>7</v>
      </c>
      <c r="I5" s="59" t="s">
        <v>8</v>
      </c>
      <c r="J5" s="59" t="s">
        <v>7</v>
      </c>
      <c r="K5" s="59" t="s">
        <v>8</v>
      </c>
      <c r="L5" s="59" t="s">
        <v>7</v>
      </c>
      <c r="M5" s="60" t="s">
        <v>8</v>
      </c>
      <c r="N5" s="58" t="s">
        <v>7</v>
      </c>
      <c r="O5" s="59" t="s">
        <v>8</v>
      </c>
      <c r="P5" s="59" t="s">
        <v>7</v>
      </c>
      <c r="Q5" s="59" t="s">
        <v>8</v>
      </c>
      <c r="R5" s="59" t="s">
        <v>7</v>
      </c>
      <c r="S5" s="60" t="s">
        <v>8</v>
      </c>
      <c r="T5" s="58" t="s">
        <v>7</v>
      </c>
      <c r="U5" s="59" t="s">
        <v>8</v>
      </c>
      <c r="V5" s="59" t="s">
        <v>7</v>
      </c>
      <c r="W5" s="59" t="s">
        <v>8</v>
      </c>
      <c r="X5" s="59" t="s">
        <v>7</v>
      </c>
      <c r="Y5" s="60" t="s">
        <v>8</v>
      </c>
      <c r="Z5" s="58" t="s">
        <v>6</v>
      </c>
      <c r="AA5" s="59" t="s">
        <v>9</v>
      </c>
      <c r="AB5" s="59" t="s">
        <v>6</v>
      </c>
      <c r="AC5" s="59" t="s">
        <v>9</v>
      </c>
      <c r="AD5" s="59" t="s">
        <v>6</v>
      </c>
      <c r="AE5" s="60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0.91697232410803597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49500</v>
      </c>
      <c r="H8" s="68">
        <v>66</v>
      </c>
      <c r="I8" s="65">
        <f>H8*D8</f>
        <v>16500</v>
      </c>
      <c r="J8" s="68"/>
      <c r="K8" s="65">
        <f>D8*J8</f>
        <v>0</v>
      </c>
      <c r="L8" s="68"/>
      <c r="M8" s="65">
        <f>D8*L8</f>
        <v>0</v>
      </c>
      <c r="N8" s="68">
        <v>66</v>
      </c>
      <c r="O8" s="65">
        <f>D8*N8</f>
        <v>16500</v>
      </c>
      <c r="P8" s="68"/>
      <c r="Q8" s="65">
        <f>D8*P8</f>
        <v>0</v>
      </c>
      <c r="R8" s="68"/>
      <c r="S8" s="65">
        <f>D8*R8</f>
        <v>0</v>
      </c>
      <c r="T8" s="68">
        <v>66</v>
      </c>
      <c r="U8" s="65">
        <f>D8*T8</f>
        <v>16500</v>
      </c>
      <c r="V8" s="68"/>
      <c r="W8" s="65">
        <f>D8*V8</f>
        <v>0</v>
      </c>
      <c r="X8" s="68"/>
      <c r="Y8" s="65">
        <f>D8*X8</f>
        <v>0</v>
      </c>
      <c r="Z8" s="69">
        <f>SUM(I8,O8,U8)</f>
        <v>49500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72"/>
      <c r="E10" s="73">
        <f>SUM(E6:E9)</f>
        <v>0</v>
      </c>
      <c r="F10" s="73">
        <f>SUM(F6:F9)</f>
        <v>0</v>
      </c>
      <c r="G10" s="73">
        <f>SUM(G6:G9)</f>
        <v>49500</v>
      </c>
      <c r="H10" s="74"/>
      <c r="I10" s="75">
        <f>SUM(I6:I9)</f>
        <v>16500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16500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16500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49500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8.3027675891964026E-2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4482</v>
      </c>
      <c r="H13" s="88">
        <v>6</v>
      </c>
      <c r="I13" s="83">
        <f>H13*D13</f>
        <v>1494</v>
      </c>
      <c r="J13" s="89"/>
      <c r="K13" s="83">
        <f>D13*J13</f>
        <v>0</v>
      </c>
      <c r="L13" s="90"/>
      <c r="M13" s="83">
        <f>D13*L13</f>
        <v>0</v>
      </c>
      <c r="N13" s="91">
        <v>6</v>
      </c>
      <c r="O13" s="83">
        <f>D13*N13</f>
        <v>1494</v>
      </c>
      <c r="P13" s="90"/>
      <c r="Q13" s="83">
        <f>D13*P13</f>
        <v>0</v>
      </c>
      <c r="R13" s="90"/>
      <c r="S13" s="83">
        <f>D13*R13</f>
        <v>0</v>
      </c>
      <c r="T13" s="90">
        <v>6</v>
      </c>
      <c r="U13" s="83">
        <f>D13*T13</f>
        <v>1494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4482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4482</v>
      </c>
      <c r="H15" s="80"/>
      <c r="I15" s="93">
        <f>SUM(I11:I14)</f>
        <v>1494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1494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1494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4482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53982</v>
      </c>
      <c r="H16" s="96">
        <f t="shared" ref="H16:AD16" si="0">SUM(H15,H10)</f>
        <v>0</v>
      </c>
      <c r="I16" s="97">
        <f>SUM(I15,I10)</f>
        <v>17994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17994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17994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53982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/>
      <c r="H30" s="152"/>
      <c r="I30" s="151">
        <v>10</v>
      </c>
      <c r="J30" s="152"/>
      <c r="K30" s="151"/>
      <c r="L30" s="152"/>
      <c r="M30" s="151"/>
      <c r="N30" s="152"/>
      <c r="O30" s="151"/>
      <c r="P30" s="152"/>
      <c r="Q30" s="151"/>
      <c r="R30" s="152"/>
      <c r="S30" s="151"/>
      <c r="T30" s="152"/>
      <c r="U30" s="151"/>
      <c r="V30" s="152"/>
      <c r="W30" s="151"/>
      <c r="X30" s="152"/>
      <c r="Y30" s="151">
        <v>95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192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66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6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66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18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198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26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287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8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89</v>
      </c>
      <c r="Z42" s="184"/>
      <c r="AA42" s="189"/>
      <c r="AB42" s="189"/>
      <c r="AC42" s="189"/>
      <c r="AD42" s="189"/>
      <c r="AE42" s="189"/>
    </row>
  </sheetData>
  <mergeCells count="207">
    <mergeCell ref="S42:T42"/>
    <mergeCell ref="U42:V42"/>
    <mergeCell ref="W42:X42"/>
    <mergeCell ref="G42:H42"/>
    <mergeCell ref="I42:J42"/>
    <mergeCell ref="K42:L42"/>
    <mergeCell ref="M42:N42"/>
    <mergeCell ref="O42:P42"/>
    <mergeCell ref="Q42:R42"/>
    <mergeCell ref="B42:C42"/>
    <mergeCell ref="D42:F42"/>
    <mergeCell ref="U41:V41"/>
    <mergeCell ref="W41:X41"/>
    <mergeCell ref="Y41:Z41"/>
    <mergeCell ref="O41:P41"/>
    <mergeCell ref="Q41:R41"/>
    <mergeCell ref="S41:T41"/>
    <mergeCell ref="D41:F41"/>
    <mergeCell ref="G41:H41"/>
    <mergeCell ref="Y42:Z42"/>
    <mergeCell ref="U39:V39"/>
    <mergeCell ref="AA41:AE41"/>
    <mergeCell ref="Y40:Z40"/>
    <mergeCell ref="AA40:AE40"/>
    <mergeCell ref="U40:V40"/>
    <mergeCell ref="W40:X40"/>
    <mergeCell ref="AA42:AE42"/>
    <mergeCell ref="AA39:AE39"/>
    <mergeCell ref="G39:H39"/>
    <mergeCell ref="I39:J39"/>
    <mergeCell ref="K39:L39"/>
    <mergeCell ref="I41:J41"/>
    <mergeCell ref="K41:L41"/>
    <mergeCell ref="M41:N41"/>
    <mergeCell ref="M40:N40"/>
    <mergeCell ref="M39:N39"/>
    <mergeCell ref="O40:P40"/>
    <mergeCell ref="Q40:R40"/>
    <mergeCell ref="S40:T40"/>
    <mergeCell ref="S39:T39"/>
    <mergeCell ref="Q39:R39"/>
    <mergeCell ref="Y39:Z39"/>
    <mergeCell ref="O39:P39"/>
    <mergeCell ref="W39:X39"/>
    <mergeCell ref="Y38:Z38"/>
    <mergeCell ref="B40:C41"/>
    <mergeCell ref="D40:F40"/>
    <mergeCell ref="G40:H40"/>
    <mergeCell ref="I40:J40"/>
    <mergeCell ref="K40:L40"/>
    <mergeCell ref="B37:C39"/>
    <mergeCell ref="D39:F39"/>
    <mergeCell ref="D37:F37"/>
    <mergeCell ref="D38:F38"/>
    <mergeCell ref="G38:H38"/>
    <mergeCell ref="I38:J38"/>
    <mergeCell ref="K38:L38"/>
    <mergeCell ref="M38:N38"/>
    <mergeCell ref="Q38:R38"/>
    <mergeCell ref="G37:H37"/>
    <mergeCell ref="I37:J37"/>
    <mergeCell ref="K37:L37"/>
    <mergeCell ref="M37:N37"/>
    <mergeCell ref="O37:P37"/>
    <mergeCell ref="W37:X37"/>
    <mergeCell ref="Y37:Z37"/>
    <mergeCell ref="AA37:AE37"/>
    <mergeCell ref="Q37:R37"/>
    <mergeCell ref="S37:T37"/>
    <mergeCell ref="U36:V36"/>
    <mergeCell ref="W36:X36"/>
    <mergeCell ref="O38:P38"/>
    <mergeCell ref="S38:T38"/>
    <mergeCell ref="U38:V38"/>
    <mergeCell ref="W38:X38"/>
    <mergeCell ref="Y36:Z36"/>
    <mergeCell ref="AA36:AE36"/>
    <mergeCell ref="S36:T36"/>
    <mergeCell ref="Q36:R36"/>
    <mergeCell ref="AA38:AE38"/>
    <mergeCell ref="U37:V37"/>
    <mergeCell ref="D36:F36"/>
    <mergeCell ref="G36:H36"/>
    <mergeCell ref="I36:J36"/>
    <mergeCell ref="K36:L36"/>
    <mergeCell ref="M36:N36"/>
    <mergeCell ref="O36:P36"/>
    <mergeCell ref="Q35:R35"/>
    <mergeCell ref="S35:T35"/>
    <mergeCell ref="U35:V35"/>
    <mergeCell ref="W35:X35"/>
    <mergeCell ref="Y35:Z35"/>
    <mergeCell ref="AA35:AE35"/>
    <mergeCell ref="D35:F35"/>
    <mergeCell ref="G35:H35"/>
    <mergeCell ref="I35:J35"/>
    <mergeCell ref="K35:L35"/>
    <mergeCell ref="M35:N35"/>
    <mergeCell ref="O35:P35"/>
    <mergeCell ref="Q34:R34"/>
    <mergeCell ref="S34:T34"/>
    <mergeCell ref="U34:V34"/>
    <mergeCell ref="W34:X34"/>
    <mergeCell ref="Y34:Z34"/>
    <mergeCell ref="AA34:AE34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O32:P32"/>
    <mergeCell ref="Q32:R32"/>
    <mergeCell ref="S32:T32"/>
    <mergeCell ref="U32:V32"/>
    <mergeCell ref="W32:X32"/>
    <mergeCell ref="Y32:Z32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M29:N29"/>
    <mergeCell ref="O29:P29"/>
    <mergeCell ref="Q29:R29"/>
    <mergeCell ref="S29:T29"/>
    <mergeCell ref="U29:V29"/>
    <mergeCell ref="W29:X29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T4:U4"/>
    <mergeCell ref="V4:W4"/>
    <mergeCell ref="X4:Y4"/>
    <mergeCell ref="Z4:AA4"/>
    <mergeCell ref="AB4:AC4"/>
    <mergeCell ref="AD4:AE4"/>
    <mergeCell ref="H4:I4"/>
    <mergeCell ref="J4:K4"/>
    <mergeCell ref="L4:M4"/>
    <mergeCell ref="N4:O4"/>
    <mergeCell ref="P4:Q4"/>
    <mergeCell ref="R4:S4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</mergeCells>
  <phoneticPr fontId="5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8" sqref="AA38:AE3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110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0.91697232410803597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49500</v>
      </c>
      <c r="H8" s="68">
        <v>77</v>
      </c>
      <c r="I8" s="65">
        <f>H8*D8</f>
        <v>19250</v>
      </c>
      <c r="J8" s="68"/>
      <c r="K8" s="65">
        <f>D8*J8</f>
        <v>0</v>
      </c>
      <c r="L8" s="68"/>
      <c r="M8" s="65">
        <f>D8*L8</f>
        <v>0</v>
      </c>
      <c r="N8" s="68">
        <v>66</v>
      </c>
      <c r="O8" s="65">
        <f>D8*N8</f>
        <v>16500</v>
      </c>
      <c r="P8" s="68"/>
      <c r="Q8" s="65">
        <f>D8*P8</f>
        <v>0</v>
      </c>
      <c r="R8" s="68"/>
      <c r="S8" s="65">
        <f>D8*R8</f>
        <v>0</v>
      </c>
      <c r="T8" s="68">
        <v>55</v>
      </c>
      <c r="U8" s="65">
        <f>D8*T8</f>
        <v>13750</v>
      </c>
      <c r="V8" s="68"/>
      <c r="W8" s="65">
        <f>D8*V8</f>
        <v>0</v>
      </c>
      <c r="X8" s="68"/>
      <c r="Y8" s="65">
        <f>D8*X8</f>
        <v>0</v>
      </c>
      <c r="Z8" s="69">
        <f>SUM(I8,O8,U8)</f>
        <v>49500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49500</v>
      </c>
      <c r="H10" s="74"/>
      <c r="I10" s="75">
        <f>SUM(I6:I9)</f>
        <v>19250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16500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13750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49500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8.3027675891964026E-2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4482</v>
      </c>
      <c r="H13" s="88">
        <v>7</v>
      </c>
      <c r="I13" s="83">
        <f>H13*D13</f>
        <v>1743</v>
      </c>
      <c r="J13" s="89"/>
      <c r="K13" s="83">
        <f>D13*J13</f>
        <v>0</v>
      </c>
      <c r="L13" s="90"/>
      <c r="M13" s="83">
        <f>D13*L13</f>
        <v>0</v>
      </c>
      <c r="N13" s="91">
        <v>6</v>
      </c>
      <c r="O13" s="83">
        <f>D13*N13</f>
        <v>1494</v>
      </c>
      <c r="P13" s="90"/>
      <c r="Q13" s="83">
        <f>D13*P13</f>
        <v>0</v>
      </c>
      <c r="R13" s="90"/>
      <c r="S13" s="83">
        <f>D13*R13</f>
        <v>0</v>
      </c>
      <c r="T13" s="90">
        <v>5</v>
      </c>
      <c r="U13" s="83">
        <f>D13*T13</f>
        <v>1245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4482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4482</v>
      </c>
      <c r="H15" s="80"/>
      <c r="I15" s="93">
        <f>SUM(I11:I14)</f>
        <v>1743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1494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1245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4482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53982</v>
      </c>
      <c r="H16" s="96">
        <f t="shared" ref="H16:AD16" si="0">SUM(H15,H10)</f>
        <v>0</v>
      </c>
      <c r="I16" s="97">
        <f>SUM(I15,I10)</f>
        <v>20993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17994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14995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53982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'1'!G42:H42</f>
        <v>0</v>
      </c>
      <c r="H30" s="152"/>
      <c r="I30" s="151">
        <f>'1'!I42:J42</f>
        <v>8</v>
      </c>
      <c r="J30" s="152"/>
      <c r="K30" s="151">
        <f>'1'!K42:L42</f>
        <v>0</v>
      </c>
      <c r="L30" s="152"/>
      <c r="M30" s="151">
        <f>'1'!M42:N42</f>
        <v>0</v>
      </c>
      <c r="N30" s="152"/>
      <c r="O30" s="151">
        <f>'1'!O42:P42</f>
        <v>0</v>
      </c>
      <c r="P30" s="152"/>
      <c r="Q30" s="151">
        <f>'1'!Q42:R42</f>
        <v>0</v>
      </c>
      <c r="R30" s="152"/>
      <c r="S30" s="151">
        <f>'1'!S42:T42</f>
        <v>0</v>
      </c>
      <c r="T30" s="152"/>
      <c r="U30" s="151">
        <f>'1'!U42:V42</f>
        <v>0</v>
      </c>
      <c r="V30" s="152"/>
      <c r="W30" s="151">
        <f>'1'!W42:X42</f>
        <v>0</v>
      </c>
      <c r="X30" s="152"/>
      <c r="Y30" s="151">
        <f>'1'!Y42:Z42</f>
        <v>89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208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7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77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5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55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18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198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24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297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6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99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8" sqref="AA38:AE3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111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0.91697232410803597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49500</v>
      </c>
      <c r="H8" s="68">
        <v>66</v>
      </c>
      <c r="I8" s="65">
        <f>H8*D8</f>
        <v>16500</v>
      </c>
      <c r="J8" s="68"/>
      <c r="K8" s="65">
        <f>D8*J8</f>
        <v>0</v>
      </c>
      <c r="L8" s="68"/>
      <c r="M8" s="65">
        <f>D8*L8</f>
        <v>0</v>
      </c>
      <c r="N8" s="68">
        <v>66</v>
      </c>
      <c r="O8" s="65">
        <f>D8*N8</f>
        <v>16500</v>
      </c>
      <c r="P8" s="68"/>
      <c r="Q8" s="65">
        <f>D8*P8</f>
        <v>0</v>
      </c>
      <c r="R8" s="68"/>
      <c r="S8" s="65">
        <f>D8*R8</f>
        <v>0</v>
      </c>
      <c r="T8" s="68">
        <v>66</v>
      </c>
      <c r="U8" s="65">
        <f>D8*T8</f>
        <v>16500</v>
      </c>
      <c r="V8" s="68"/>
      <c r="W8" s="65">
        <f>D8*V8</f>
        <v>0</v>
      </c>
      <c r="X8" s="68"/>
      <c r="Y8" s="65">
        <f>D8*X8</f>
        <v>0</v>
      </c>
      <c r="Z8" s="69">
        <f>SUM(I8,O8,U8)</f>
        <v>49500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49500</v>
      </c>
      <c r="H10" s="74"/>
      <c r="I10" s="75">
        <f>SUM(I6:I9)</f>
        <v>16500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16500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16500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49500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8.3027675891964026E-2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4482</v>
      </c>
      <c r="H13" s="88">
        <v>6</v>
      </c>
      <c r="I13" s="83">
        <f>H13*D13</f>
        <v>1494</v>
      </c>
      <c r="J13" s="89"/>
      <c r="K13" s="83">
        <f>D13*J13</f>
        <v>0</v>
      </c>
      <c r="L13" s="90"/>
      <c r="M13" s="83">
        <f>D13*L13</f>
        <v>0</v>
      </c>
      <c r="N13" s="91">
        <v>6</v>
      </c>
      <c r="O13" s="83">
        <f>D13*N13</f>
        <v>1494</v>
      </c>
      <c r="P13" s="90"/>
      <c r="Q13" s="83">
        <f>D13*P13</f>
        <v>0</v>
      </c>
      <c r="R13" s="90"/>
      <c r="S13" s="83">
        <f>D13*R13</f>
        <v>0</v>
      </c>
      <c r="T13" s="90">
        <v>6</v>
      </c>
      <c r="U13" s="83">
        <f>D13*T13</f>
        <v>1494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4482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4482</v>
      </c>
      <c r="H15" s="80"/>
      <c r="I15" s="93">
        <f>SUM(I11:I14)</f>
        <v>1494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1494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1494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4482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53982</v>
      </c>
      <c r="H16" s="96">
        <f t="shared" ref="H16:AD16" si="0">SUM(H15,H10)</f>
        <v>0</v>
      </c>
      <c r="I16" s="97">
        <f>SUM(I15,I10)</f>
        <v>17994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17994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17994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53982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'2'!G42:H42</f>
        <v>0</v>
      </c>
      <c r="H30" s="152"/>
      <c r="I30" s="151">
        <f>'2'!I42:J42</f>
        <v>6</v>
      </c>
      <c r="J30" s="152"/>
      <c r="K30" s="151">
        <f>'2'!K42:L42</f>
        <v>0</v>
      </c>
      <c r="L30" s="152"/>
      <c r="M30" s="151">
        <f>'2'!M42:N42</f>
        <v>0</v>
      </c>
      <c r="N30" s="152"/>
      <c r="O30" s="151">
        <f>'2'!O42:P42</f>
        <v>0</v>
      </c>
      <c r="P30" s="152"/>
      <c r="Q30" s="151">
        <f>'2'!Q42:R42</f>
        <v>0</v>
      </c>
      <c r="R30" s="152"/>
      <c r="S30" s="151">
        <f>'2'!S42:T42</f>
        <v>0</v>
      </c>
      <c r="T30" s="152"/>
      <c r="U30" s="151">
        <f>'2'!U42:V42</f>
        <v>0</v>
      </c>
      <c r="V30" s="152"/>
      <c r="W30" s="151">
        <f>'2'!W42:X42</f>
        <v>0</v>
      </c>
      <c r="X30" s="152"/>
      <c r="Y30" s="151">
        <f>'2'!Y42:Z42</f>
        <v>99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192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66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6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66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18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198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22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291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4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93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8" sqref="AA38:AE3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112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0.91248276421445373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33750</v>
      </c>
      <c r="H8" s="68">
        <v>77</v>
      </c>
      <c r="I8" s="65">
        <f>H8*D8</f>
        <v>19250</v>
      </c>
      <c r="J8" s="68"/>
      <c r="K8" s="65">
        <f>D8*J8</f>
        <v>0</v>
      </c>
      <c r="L8" s="68"/>
      <c r="M8" s="65">
        <f>D8*L8</f>
        <v>0</v>
      </c>
      <c r="N8" s="68">
        <v>55</v>
      </c>
      <c r="O8" s="65">
        <f>D8*N8</f>
        <v>13750</v>
      </c>
      <c r="P8" s="68"/>
      <c r="Q8" s="65">
        <f>D8*P8</f>
        <v>0</v>
      </c>
      <c r="R8" s="68"/>
      <c r="S8" s="65">
        <f>D8*R8</f>
        <v>0</v>
      </c>
      <c r="T8" s="68">
        <v>3</v>
      </c>
      <c r="U8" s="65">
        <f>D8*T8</f>
        <v>750</v>
      </c>
      <c r="V8" s="68"/>
      <c r="W8" s="65">
        <f>D8*V8</f>
        <v>0</v>
      </c>
      <c r="X8" s="68"/>
      <c r="Y8" s="65">
        <f>D8*X8</f>
        <v>0</v>
      </c>
      <c r="Z8" s="69">
        <f>SUM(I8,O8,U8)</f>
        <v>33750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33750</v>
      </c>
      <c r="H10" s="74"/>
      <c r="I10" s="75">
        <f>SUM(I6:I9)</f>
        <v>19250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13750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750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33750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8.7517235785546266E-2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3237</v>
      </c>
      <c r="H13" s="88">
        <v>7</v>
      </c>
      <c r="I13" s="83">
        <f>H13*D13</f>
        <v>1743</v>
      </c>
      <c r="J13" s="89"/>
      <c r="K13" s="83">
        <f>D13*J13</f>
        <v>0</v>
      </c>
      <c r="L13" s="90"/>
      <c r="M13" s="83">
        <f>D13*L13</f>
        <v>0</v>
      </c>
      <c r="N13" s="91">
        <v>5</v>
      </c>
      <c r="O13" s="83">
        <f>D13*N13</f>
        <v>1245</v>
      </c>
      <c r="P13" s="90"/>
      <c r="Q13" s="83">
        <f>D13*P13</f>
        <v>0</v>
      </c>
      <c r="R13" s="90"/>
      <c r="S13" s="83">
        <f>D13*R13</f>
        <v>0</v>
      </c>
      <c r="T13" s="90">
        <v>1</v>
      </c>
      <c r="U13" s="83">
        <f>D13*T13</f>
        <v>249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3237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3237</v>
      </c>
      <c r="H15" s="80"/>
      <c r="I15" s="93">
        <f>SUM(I11:I14)</f>
        <v>1743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1245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249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3237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36987</v>
      </c>
      <c r="H16" s="96">
        <f t="shared" ref="H16:AD16" si="0">SUM(H15,H10)</f>
        <v>0</v>
      </c>
      <c r="I16" s="97">
        <f>SUM(I15,I10)</f>
        <v>20993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14995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999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36987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'3'!G42:H42</f>
        <v>0</v>
      </c>
      <c r="H30" s="152"/>
      <c r="I30" s="151">
        <f>'3'!I42:J42</f>
        <v>4</v>
      </c>
      <c r="J30" s="152"/>
      <c r="K30" s="151">
        <f>'3'!K42:L42</f>
        <v>0</v>
      </c>
      <c r="L30" s="152"/>
      <c r="M30" s="151">
        <f>'3'!M42:N42</f>
        <v>0</v>
      </c>
      <c r="N30" s="152"/>
      <c r="O30" s="151">
        <f>'3'!O42:P42</f>
        <v>0</v>
      </c>
      <c r="P30" s="152"/>
      <c r="Q30" s="151">
        <f>'3'!Q42:R42</f>
        <v>0</v>
      </c>
      <c r="R30" s="152"/>
      <c r="S30" s="151">
        <f>'3'!S42:T42</f>
        <v>0</v>
      </c>
      <c r="T30" s="152"/>
      <c r="U30" s="151">
        <f>'3'!U42:V42</f>
        <v>0</v>
      </c>
      <c r="V30" s="152"/>
      <c r="W30" s="151">
        <f>'3'!W42:X42</f>
        <v>0</v>
      </c>
      <c r="X30" s="152"/>
      <c r="Y30" s="151">
        <f>'3'!Y42:Z42</f>
        <v>93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32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192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7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77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5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55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1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3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13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135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36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285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23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150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F9" sqref="F9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113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 t="str">
        <f>IFERROR(Z10/Z16,"")</f>
        <v/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0</v>
      </c>
      <c r="H8" s="68"/>
      <c r="I8" s="65">
        <f>H8*D8</f>
        <v>0</v>
      </c>
      <c r="J8" s="68"/>
      <c r="K8" s="65">
        <f>D8*J8</f>
        <v>0</v>
      </c>
      <c r="L8" s="68"/>
      <c r="M8" s="65">
        <f>D8*L8</f>
        <v>0</v>
      </c>
      <c r="N8" s="68"/>
      <c r="O8" s="65">
        <f>D8*N8</f>
        <v>0</v>
      </c>
      <c r="P8" s="68"/>
      <c r="Q8" s="65">
        <f>D8*P8</f>
        <v>0</v>
      </c>
      <c r="R8" s="68"/>
      <c r="S8" s="65">
        <f>D8*R8</f>
        <v>0</v>
      </c>
      <c r="T8" s="68"/>
      <c r="U8" s="65">
        <f>D8*T8</f>
        <v>0</v>
      </c>
      <c r="V8" s="68"/>
      <c r="W8" s="65">
        <f>D8*V8</f>
        <v>0</v>
      </c>
      <c r="X8" s="68"/>
      <c r="Y8" s="65">
        <f>D8*X8</f>
        <v>0</v>
      </c>
      <c r="Z8" s="69">
        <f>SUM(I8,O8,U8)</f>
        <v>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0</v>
      </c>
      <c r="H10" s="74"/>
      <c r="I10" s="75">
        <f>SUM(I6:I9)</f>
        <v>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 t="str">
        <f>IFERROR(1-AA6,"")</f>
        <v/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0</v>
      </c>
      <c r="H13" s="88"/>
      <c r="I13" s="83">
        <f>H13*D13</f>
        <v>0</v>
      </c>
      <c r="J13" s="89"/>
      <c r="K13" s="83">
        <f>D13*J13</f>
        <v>0</v>
      </c>
      <c r="L13" s="90"/>
      <c r="M13" s="83">
        <f>D13*L13</f>
        <v>0</v>
      </c>
      <c r="N13" s="91"/>
      <c r="O13" s="83">
        <f>D13*N13</f>
        <v>0</v>
      </c>
      <c r="P13" s="90"/>
      <c r="Q13" s="83">
        <f>D13*P13</f>
        <v>0</v>
      </c>
      <c r="R13" s="90"/>
      <c r="S13" s="83">
        <f>D13*R13</f>
        <v>0</v>
      </c>
      <c r="T13" s="90"/>
      <c r="U13" s="83">
        <f>D13*T13</f>
        <v>0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0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0</v>
      </c>
      <c r="H15" s="80"/>
      <c r="I15" s="93">
        <f>SUM(I11:I14)</f>
        <v>0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0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0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0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0</v>
      </c>
      <c r="H16" s="96">
        <f t="shared" ref="H16:AD16" si="0">SUM(H15,H10)</f>
        <v>0</v>
      </c>
      <c r="I16" s="97">
        <f>SUM(I15,I10)</f>
        <v>0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0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0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0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'4'!G42:H42</f>
        <v>0</v>
      </c>
      <c r="H30" s="152"/>
      <c r="I30" s="151">
        <f>'4'!I42:J42</f>
        <v>23</v>
      </c>
      <c r="J30" s="152"/>
      <c r="K30" s="151">
        <f>'4'!K42:L42</f>
        <v>0</v>
      </c>
      <c r="L30" s="152"/>
      <c r="M30" s="151">
        <f>'4'!M42:N42</f>
        <v>0</v>
      </c>
      <c r="N30" s="152"/>
      <c r="O30" s="151">
        <f>'4'!O42:P42</f>
        <v>0</v>
      </c>
      <c r="P30" s="152"/>
      <c r="Q30" s="151">
        <f>'4'!Q42:R42</f>
        <v>0</v>
      </c>
      <c r="R30" s="152"/>
      <c r="S30" s="151">
        <f>'4'!S42:T42</f>
        <v>0</v>
      </c>
      <c r="T30" s="152"/>
      <c r="U30" s="151">
        <f>'4'!U42:V42</f>
        <v>0</v>
      </c>
      <c r="V30" s="152"/>
      <c r="W30" s="151">
        <f>'4'!W42:X42</f>
        <v>0</v>
      </c>
      <c r="X30" s="152"/>
      <c r="Y30" s="151">
        <f>'4'!Y42:Z42</f>
        <v>150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/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/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/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/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0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0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23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150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23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150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B3" sqref="B3:AE16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114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 t="str">
        <f>IFERROR(Z10/Z16,"")</f>
        <v/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0</v>
      </c>
      <c r="H8" s="68"/>
      <c r="I8" s="65">
        <f>H8*D8</f>
        <v>0</v>
      </c>
      <c r="J8" s="68"/>
      <c r="K8" s="65">
        <f>D8*J8</f>
        <v>0</v>
      </c>
      <c r="L8" s="68"/>
      <c r="M8" s="65">
        <f>D8*L8</f>
        <v>0</v>
      </c>
      <c r="N8" s="68"/>
      <c r="O8" s="65">
        <f>D8*N8</f>
        <v>0</v>
      </c>
      <c r="P8" s="68"/>
      <c r="Q8" s="65">
        <f>D8*P8</f>
        <v>0</v>
      </c>
      <c r="R8" s="68"/>
      <c r="S8" s="65">
        <f>D8*R8</f>
        <v>0</v>
      </c>
      <c r="T8" s="68"/>
      <c r="U8" s="65">
        <f>D8*T8</f>
        <v>0</v>
      </c>
      <c r="V8" s="68"/>
      <c r="W8" s="65">
        <f>D8*V8</f>
        <v>0</v>
      </c>
      <c r="X8" s="68"/>
      <c r="Y8" s="65">
        <f>D8*X8</f>
        <v>0</v>
      </c>
      <c r="Z8" s="69">
        <f>SUM(I8,O8,U8)</f>
        <v>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0</v>
      </c>
      <c r="H10" s="74"/>
      <c r="I10" s="75">
        <f>SUM(I6:I9)</f>
        <v>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 t="str">
        <f>IFERROR(1-AA6,"")</f>
        <v/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0</v>
      </c>
      <c r="H13" s="88"/>
      <c r="I13" s="83">
        <f>H13*D13</f>
        <v>0</v>
      </c>
      <c r="J13" s="89"/>
      <c r="K13" s="83">
        <f>D13*J13</f>
        <v>0</v>
      </c>
      <c r="L13" s="90"/>
      <c r="M13" s="83">
        <f>D13*L13</f>
        <v>0</v>
      </c>
      <c r="N13" s="91"/>
      <c r="O13" s="83">
        <f>D13*N13</f>
        <v>0</v>
      </c>
      <c r="P13" s="90"/>
      <c r="Q13" s="83">
        <f>D13*P13</f>
        <v>0</v>
      </c>
      <c r="R13" s="90"/>
      <c r="S13" s="83">
        <f>D13*R13</f>
        <v>0</v>
      </c>
      <c r="T13" s="90"/>
      <c r="U13" s="83">
        <f>D13*T13</f>
        <v>0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0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0</v>
      </c>
      <c r="H15" s="80"/>
      <c r="I15" s="93">
        <f>SUM(I11:I14)</f>
        <v>0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0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0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0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0</v>
      </c>
      <c r="H16" s="96">
        <f t="shared" ref="H16:AD16" si="0">SUM(H15,H10)</f>
        <v>0</v>
      </c>
      <c r="I16" s="97">
        <f>SUM(I15,I10)</f>
        <v>0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0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0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0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'5'!G42:H42</f>
        <v>0</v>
      </c>
      <c r="H30" s="152"/>
      <c r="I30" s="151">
        <f>'5'!I42:J42</f>
        <v>23</v>
      </c>
      <c r="J30" s="152"/>
      <c r="K30" s="151">
        <f>'5'!K42:L42</f>
        <v>0</v>
      </c>
      <c r="L30" s="152"/>
      <c r="M30" s="151">
        <f>'5'!M42:N42</f>
        <v>0</v>
      </c>
      <c r="N30" s="152"/>
      <c r="O30" s="151">
        <f>'5'!O42:P42</f>
        <v>0</v>
      </c>
      <c r="P30" s="152"/>
      <c r="Q30" s="151">
        <f>'5'!Q42:R42</f>
        <v>0</v>
      </c>
      <c r="R30" s="152"/>
      <c r="S30" s="151">
        <f>'5'!S42:T42</f>
        <v>0</v>
      </c>
      <c r="T30" s="152"/>
      <c r="U30" s="151">
        <f>'5'!U42:V42</f>
        <v>0</v>
      </c>
      <c r="V30" s="152"/>
      <c r="W30" s="151">
        <f>'5'!W42:X42</f>
        <v>0</v>
      </c>
      <c r="X30" s="152"/>
      <c r="Y30" s="151">
        <f>'5'!Y42:Z42</f>
        <v>150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/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/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/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/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0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0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23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150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23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150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E7" sqref="E7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115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 t="str">
        <f>IFERROR(Z10/Z16,"")</f>
        <v/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0</v>
      </c>
      <c r="H8" s="68"/>
      <c r="I8" s="65">
        <f>H8*D8</f>
        <v>0</v>
      </c>
      <c r="J8" s="68"/>
      <c r="K8" s="65">
        <f>D8*J8</f>
        <v>0</v>
      </c>
      <c r="L8" s="68"/>
      <c r="M8" s="65">
        <f>D8*L8</f>
        <v>0</v>
      </c>
      <c r="N8" s="68"/>
      <c r="O8" s="65">
        <f>D8*N8</f>
        <v>0</v>
      </c>
      <c r="P8" s="68"/>
      <c r="Q8" s="65">
        <f>D8*P8</f>
        <v>0</v>
      </c>
      <c r="R8" s="68"/>
      <c r="S8" s="65">
        <f>D8*R8</f>
        <v>0</v>
      </c>
      <c r="T8" s="68"/>
      <c r="U8" s="65">
        <f>D8*T8</f>
        <v>0</v>
      </c>
      <c r="V8" s="68"/>
      <c r="W8" s="65">
        <f>D8*V8</f>
        <v>0</v>
      </c>
      <c r="X8" s="68"/>
      <c r="Y8" s="65">
        <f>D8*X8</f>
        <v>0</v>
      </c>
      <c r="Z8" s="69">
        <f>SUM(I8,O8,U8)</f>
        <v>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0</v>
      </c>
      <c r="H10" s="74"/>
      <c r="I10" s="75">
        <f>SUM(I6:I9)</f>
        <v>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 t="str">
        <f>IFERROR(1-AA6,"")</f>
        <v/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0</v>
      </c>
      <c r="H13" s="88"/>
      <c r="I13" s="83">
        <f>H13*D13</f>
        <v>0</v>
      </c>
      <c r="J13" s="89"/>
      <c r="K13" s="83">
        <f>D13*J13</f>
        <v>0</v>
      </c>
      <c r="L13" s="90"/>
      <c r="M13" s="83">
        <f>D13*L13</f>
        <v>0</v>
      </c>
      <c r="N13" s="91"/>
      <c r="O13" s="83">
        <f>D13*N13</f>
        <v>0</v>
      </c>
      <c r="P13" s="90"/>
      <c r="Q13" s="83">
        <f>D13*P13</f>
        <v>0</v>
      </c>
      <c r="R13" s="90"/>
      <c r="S13" s="83">
        <f>D13*R13</f>
        <v>0</v>
      </c>
      <c r="T13" s="90"/>
      <c r="U13" s="83">
        <f>D13*T13</f>
        <v>0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0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0</v>
      </c>
      <c r="H15" s="80"/>
      <c r="I15" s="93">
        <f>SUM(I11:I14)</f>
        <v>0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0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0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0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0</v>
      </c>
      <c r="H16" s="96">
        <f t="shared" ref="H16:AD16" si="0">SUM(H15,H10)</f>
        <v>0</v>
      </c>
      <c r="I16" s="97">
        <f>SUM(I15,I10)</f>
        <v>0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0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0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0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'6'!G42:H42</f>
        <v>0</v>
      </c>
      <c r="H30" s="152"/>
      <c r="I30" s="151">
        <f>'6'!I42:J42</f>
        <v>23</v>
      </c>
      <c r="J30" s="152"/>
      <c r="K30" s="151">
        <f>'6'!K42:L42</f>
        <v>0</v>
      </c>
      <c r="L30" s="152"/>
      <c r="M30" s="151">
        <f>'6'!M42:N42</f>
        <v>0</v>
      </c>
      <c r="N30" s="152"/>
      <c r="O30" s="151">
        <f>'6'!O42:P42</f>
        <v>0</v>
      </c>
      <c r="P30" s="152"/>
      <c r="Q30" s="151">
        <f>'6'!Q42:R42</f>
        <v>0</v>
      </c>
      <c r="R30" s="152"/>
      <c r="S30" s="151">
        <f>'6'!S42:T42</f>
        <v>0</v>
      </c>
      <c r="T30" s="152"/>
      <c r="U30" s="151">
        <f>'6'!U42:V42</f>
        <v>0</v>
      </c>
      <c r="V30" s="152"/>
      <c r="W30" s="151">
        <f>'6'!W42:X42</f>
        <v>0</v>
      </c>
      <c r="X30" s="152"/>
      <c r="Y30" s="151">
        <f>'6'!Y42:Z42</f>
        <v>150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/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/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/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/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0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0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23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150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23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150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I40" sqref="I40:J40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116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 t="str">
        <f>IFERROR(Z10/Z16,"")</f>
        <v/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0</v>
      </c>
      <c r="H8" s="68"/>
      <c r="I8" s="65">
        <f>H8*D8</f>
        <v>0</v>
      </c>
      <c r="J8" s="68"/>
      <c r="K8" s="65">
        <f>D8*J8</f>
        <v>0</v>
      </c>
      <c r="L8" s="68"/>
      <c r="M8" s="65">
        <f>D8*L8</f>
        <v>0</v>
      </c>
      <c r="N8" s="68"/>
      <c r="O8" s="65">
        <f>D8*N8</f>
        <v>0</v>
      </c>
      <c r="P8" s="68"/>
      <c r="Q8" s="65">
        <f>D8*P8</f>
        <v>0</v>
      </c>
      <c r="R8" s="68"/>
      <c r="S8" s="65">
        <f>D8*R8</f>
        <v>0</v>
      </c>
      <c r="T8" s="68"/>
      <c r="U8" s="65">
        <f>D8*T8</f>
        <v>0</v>
      </c>
      <c r="V8" s="68"/>
      <c r="W8" s="65">
        <f>D8*V8</f>
        <v>0</v>
      </c>
      <c r="X8" s="68"/>
      <c r="Y8" s="65">
        <f>D8*X8</f>
        <v>0</v>
      </c>
      <c r="Z8" s="69">
        <f>SUM(I8,O8,U8)</f>
        <v>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0</v>
      </c>
      <c r="H10" s="74"/>
      <c r="I10" s="75">
        <f>SUM(I6:I9)</f>
        <v>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 t="str">
        <f>IFERROR(1-AA6,"")</f>
        <v/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0</v>
      </c>
      <c r="H13" s="88"/>
      <c r="I13" s="83">
        <f>H13*D13</f>
        <v>0</v>
      </c>
      <c r="J13" s="89"/>
      <c r="K13" s="83">
        <f>D13*J13</f>
        <v>0</v>
      </c>
      <c r="L13" s="90"/>
      <c r="M13" s="83">
        <f>D13*L13</f>
        <v>0</v>
      </c>
      <c r="N13" s="91"/>
      <c r="O13" s="83">
        <f>D13*N13</f>
        <v>0</v>
      </c>
      <c r="P13" s="90"/>
      <c r="Q13" s="83">
        <f>D13*P13</f>
        <v>0</v>
      </c>
      <c r="R13" s="90"/>
      <c r="S13" s="83">
        <f>D13*R13</f>
        <v>0</v>
      </c>
      <c r="T13" s="90"/>
      <c r="U13" s="83">
        <f>D13*T13</f>
        <v>0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0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0</v>
      </c>
      <c r="H15" s="80"/>
      <c r="I15" s="93">
        <f>SUM(I11:I14)</f>
        <v>0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0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0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0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0</v>
      </c>
      <c r="H16" s="96">
        <f t="shared" ref="H16:AD16" si="0">SUM(H15,H10)</f>
        <v>0</v>
      </c>
      <c r="I16" s="97">
        <f>SUM(I15,I10)</f>
        <v>0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0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0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0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'7'!G42:H42</f>
        <v>0</v>
      </c>
      <c r="H30" s="152"/>
      <c r="I30" s="151">
        <f>'7'!I42:J42</f>
        <v>23</v>
      </c>
      <c r="J30" s="152"/>
      <c r="K30" s="151">
        <f>'7'!K42:L42</f>
        <v>0</v>
      </c>
      <c r="L30" s="152"/>
      <c r="M30" s="151">
        <f>'7'!M42:N42</f>
        <v>0</v>
      </c>
      <c r="N30" s="152"/>
      <c r="O30" s="151">
        <f>'7'!O42:P42</f>
        <v>0</v>
      </c>
      <c r="P30" s="152"/>
      <c r="Q30" s="151">
        <f>'7'!Q42:R42</f>
        <v>0</v>
      </c>
      <c r="R30" s="152"/>
      <c r="S30" s="151">
        <f>'7'!S42:T42</f>
        <v>0</v>
      </c>
      <c r="T30" s="152"/>
      <c r="U30" s="151">
        <f>'7'!U42:V42</f>
        <v>0</v>
      </c>
      <c r="V30" s="152"/>
      <c r="W30" s="151">
        <f>'7'!W42:X42</f>
        <v>0</v>
      </c>
      <c r="X30" s="152"/>
      <c r="Y30" s="151">
        <f>'7'!Y42:Z42</f>
        <v>150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/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/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/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/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0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0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23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150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23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150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U13" sqref="U1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105" t="s">
        <v>100</v>
      </c>
      <c r="AN1" s="106"/>
      <c r="AO1" s="105" t="s">
        <v>101</v>
      </c>
    </row>
    <row r="2" spans="2:41" ht="20.5" x14ac:dyDescent="0.45">
      <c r="B2" s="2" t="s">
        <v>1</v>
      </c>
      <c r="Z2" s="116" t="s">
        <v>117</v>
      </c>
      <c r="AA2" s="116"/>
      <c r="AB2" s="116"/>
      <c r="AC2" s="116"/>
      <c r="AD2" s="116"/>
      <c r="AE2" s="116"/>
      <c r="AK2" s="19" t="s">
        <v>45</v>
      </c>
      <c r="AM2" s="103" t="s">
        <v>35</v>
      </c>
      <c r="AN2" s="107"/>
      <c r="AO2" s="105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104" t="s">
        <v>47</v>
      </c>
      <c r="AN3" s="108"/>
      <c r="AO3" s="105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104" t="s">
        <v>48</v>
      </c>
      <c r="AN4" s="108"/>
      <c r="AO4" s="105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104" t="s">
        <v>38</v>
      </c>
      <c r="AN5" s="108"/>
      <c r="AO5" s="105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0.88761847449977438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108" t="s">
        <v>50</v>
      </c>
      <c r="AN6" s="108"/>
      <c r="AO6" s="105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108" t="s">
        <v>97</v>
      </c>
      <c r="AN7" s="108"/>
      <c r="AO7" s="105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29500</v>
      </c>
      <c r="H8" s="68"/>
      <c r="I8" s="65">
        <f>H8*D8</f>
        <v>0</v>
      </c>
      <c r="J8" s="68"/>
      <c r="K8" s="65">
        <f>D8*J8</f>
        <v>0</v>
      </c>
      <c r="L8" s="68"/>
      <c r="M8" s="65">
        <f>D8*L8</f>
        <v>0</v>
      </c>
      <c r="N8" s="68">
        <v>70</v>
      </c>
      <c r="O8" s="65">
        <f>D8*N8</f>
        <v>17500</v>
      </c>
      <c r="P8" s="68"/>
      <c r="Q8" s="65">
        <f>D8*P8</f>
        <v>0</v>
      </c>
      <c r="R8" s="68"/>
      <c r="S8" s="65">
        <f>D8*R8</f>
        <v>0</v>
      </c>
      <c r="T8" s="68">
        <v>48</v>
      </c>
      <c r="U8" s="65">
        <f>D8*T8</f>
        <v>12000</v>
      </c>
      <c r="V8" s="68"/>
      <c r="W8" s="65">
        <f>D8*V8</f>
        <v>0</v>
      </c>
      <c r="X8" s="68"/>
      <c r="Y8" s="65">
        <f>D8*X8</f>
        <v>0</v>
      </c>
      <c r="Z8" s="69">
        <f>SUM(I8,O8,U8)</f>
        <v>29500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108" t="s">
        <v>51</v>
      </c>
      <c r="AN8" s="108"/>
      <c r="AO8" s="105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108" t="s">
        <v>52</v>
      </c>
      <c r="AN9" s="108"/>
      <c r="AO9" s="105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29500</v>
      </c>
      <c r="H10" s="74"/>
      <c r="I10" s="75">
        <f>SUM(I6:I9)</f>
        <v>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17500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12000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29500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108" t="s">
        <v>33</v>
      </c>
      <c r="AN10" s="108"/>
      <c r="AO10" s="105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0.11238152550022562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108" t="s">
        <v>98</v>
      </c>
      <c r="AN11" s="108"/>
      <c r="AO11" s="10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108" t="s">
        <v>54</v>
      </c>
      <c r="AN12" s="108"/>
      <c r="AO12" s="10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3735</v>
      </c>
      <c r="H13" s="88"/>
      <c r="I13" s="83">
        <f>H13*D13</f>
        <v>0</v>
      </c>
      <c r="J13" s="89"/>
      <c r="K13" s="83">
        <f>D13*J13</f>
        <v>0</v>
      </c>
      <c r="L13" s="90"/>
      <c r="M13" s="83">
        <f>D13*L13</f>
        <v>0</v>
      </c>
      <c r="N13" s="91">
        <v>9</v>
      </c>
      <c r="O13" s="83">
        <f>D13*N13</f>
        <v>2241</v>
      </c>
      <c r="P13" s="90"/>
      <c r="Q13" s="83">
        <f>D13*P13</f>
        <v>0</v>
      </c>
      <c r="R13" s="90"/>
      <c r="S13" s="83">
        <f>D13*R13</f>
        <v>0</v>
      </c>
      <c r="T13" s="90">
        <v>6</v>
      </c>
      <c r="U13" s="83">
        <f>D13*T13</f>
        <v>1494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3735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108" t="s">
        <v>99</v>
      </c>
      <c r="AN13" s="108"/>
      <c r="AO13" s="10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3735</v>
      </c>
      <c r="H15" s="80"/>
      <c r="I15" s="93">
        <f>SUM(I11:I14)</f>
        <v>0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2241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1494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3735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33235</v>
      </c>
      <c r="H16" s="96">
        <f t="shared" ref="H16:AD16" si="0">SUM(H15,H10)</f>
        <v>0</v>
      </c>
      <c r="I16" s="97">
        <f>SUM(I15,I10)</f>
        <v>0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19741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13494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33235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'8'!G42:H42</f>
        <v>0</v>
      </c>
      <c r="H30" s="152"/>
      <c r="I30" s="151">
        <f>'8'!I42:J42</f>
        <v>23</v>
      </c>
      <c r="J30" s="152"/>
      <c r="K30" s="151">
        <f>'8'!K42:L42</f>
        <v>0</v>
      </c>
      <c r="L30" s="152"/>
      <c r="M30" s="151">
        <f>'8'!M42:N42</f>
        <v>0</v>
      </c>
      <c r="N30" s="152"/>
      <c r="O30" s="151">
        <f>'8'!O42:P42</f>
        <v>0</v>
      </c>
      <c r="P30" s="152"/>
      <c r="Q30" s="151">
        <f>'8'!Q42:R42</f>
        <v>0</v>
      </c>
      <c r="R30" s="152"/>
      <c r="S30" s="151">
        <f>'8'!S42:T42</f>
        <v>0</v>
      </c>
      <c r="T30" s="152"/>
      <c r="U30" s="151">
        <f>'8'!U42:V42</f>
        <v>0</v>
      </c>
      <c r="V30" s="152"/>
      <c r="W30" s="151">
        <f>'8'!W42:X42</f>
        <v>0</v>
      </c>
      <c r="X30" s="152"/>
      <c r="Y30" s="151">
        <f>'8'!Y42:Z42</f>
        <v>150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7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53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/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9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70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6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48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>
        <v>15</v>
      </c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>
        <v>85</v>
      </c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15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118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30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203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15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85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U13" sqref="U1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118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0.90088202635603698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43000</v>
      </c>
      <c r="H8" s="68">
        <v>48</v>
      </c>
      <c r="I8" s="65">
        <f>H8*D8</f>
        <v>12000</v>
      </c>
      <c r="J8" s="68"/>
      <c r="K8" s="65">
        <f>D8*J8</f>
        <v>0</v>
      </c>
      <c r="L8" s="68"/>
      <c r="M8" s="65">
        <f>D8*L8</f>
        <v>0</v>
      </c>
      <c r="N8" s="68">
        <v>60</v>
      </c>
      <c r="O8" s="65">
        <f>D8*N8</f>
        <v>15000</v>
      </c>
      <c r="P8" s="68"/>
      <c r="Q8" s="65">
        <f>D8*P8</f>
        <v>0</v>
      </c>
      <c r="R8" s="68"/>
      <c r="S8" s="65">
        <f>D8*R8</f>
        <v>0</v>
      </c>
      <c r="T8" s="68">
        <v>64</v>
      </c>
      <c r="U8" s="65">
        <f>D8*T8</f>
        <v>16000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43000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43000</v>
      </c>
      <c r="H10" s="74"/>
      <c r="I10" s="75">
        <f>SUM(I6:I9)</f>
        <v>12000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15000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16000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43000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9.911797364396302E-2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4731</v>
      </c>
      <c r="H13" s="88">
        <v>6</v>
      </c>
      <c r="I13" s="83">
        <f>H13*D13</f>
        <v>1494</v>
      </c>
      <c r="J13" s="89"/>
      <c r="K13" s="83">
        <f>D13*J13</f>
        <v>0</v>
      </c>
      <c r="L13" s="90"/>
      <c r="M13" s="83">
        <f>D13*L13</f>
        <v>0</v>
      </c>
      <c r="N13" s="91">
        <v>6</v>
      </c>
      <c r="O13" s="83">
        <f>D13*N13</f>
        <v>1494</v>
      </c>
      <c r="P13" s="90"/>
      <c r="Q13" s="83">
        <f>D13*P13</f>
        <v>0</v>
      </c>
      <c r="R13" s="90"/>
      <c r="S13" s="83">
        <f>D13*R13</f>
        <v>0</v>
      </c>
      <c r="T13" s="90">
        <v>7</v>
      </c>
      <c r="U13" s="83">
        <f>D13*T13</f>
        <v>1743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4731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4731</v>
      </c>
      <c r="H15" s="80"/>
      <c r="I15" s="93">
        <f>SUM(I11:I14)</f>
        <v>1494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1494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1743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4731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47731</v>
      </c>
      <c r="H16" s="96">
        <f t="shared" ref="H16:AD16" si="0">SUM(H15,H10)</f>
        <v>0</v>
      </c>
      <c r="I16" s="97">
        <f>SUM(I15,I10)</f>
        <v>13494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16494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17743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47731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'9'!G42:H42</f>
        <v>0</v>
      </c>
      <c r="H30" s="152"/>
      <c r="I30" s="151">
        <f>'9'!I42:J42</f>
        <v>15</v>
      </c>
      <c r="J30" s="152"/>
      <c r="K30" s="151">
        <f>'9'!K42:L42</f>
        <v>0</v>
      </c>
      <c r="L30" s="152"/>
      <c r="M30" s="151">
        <f>'9'!M42:N42</f>
        <v>0</v>
      </c>
      <c r="N30" s="152"/>
      <c r="O30" s="151">
        <f>'9'!O42:P42</f>
        <v>0</v>
      </c>
      <c r="P30" s="152"/>
      <c r="Q30" s="151">
        <f>'9'!Q42:R42</f>
        <v>0</v>
      </c>
      <c r="R30" s="152"/>
      <c r="S30" s="151">
        <f>'9'!S42:T42</f>
        <v>0</v>
      </c>
      <c r="T30" s="152"/>
      <c r="U30" s="151">
        <f>'9'!U42:V42</f>
        <v>0</v>
      </c>
      <c r="V30" s="152"/>
      <c r="W30" s="151">
        <f>'9'!W42:X42</f>
        <v>0</v>
      </c>
      <c r="X30" s="152"/>
      <c r="Y30" s="151">
        <f>'9'!Y42:Z42</f>
        <v>85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160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48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60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7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64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>
        <v>12</v>
      </c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>
        <v>73</v>
      </c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19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172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31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245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12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73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G39" sqref="AG39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119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0.88928412627834597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40000</v>
      </c>
      <c r="H8" s="68">
        <v>48</v>
      </c>
      <c r="I8" s="65">
        <f>H8*D8</f>
        <v>12000</v>
      </c>
      <c r="J8" s="68"/>
      <c r="K8" s="65">
        <f>D8*J8</f>
        <v>0</v>
      </c>
      <c r="L8" s="68"/>
      <c r="M8" s="65">
        <f>D8*L8</f>
        <v>0</v>
      </c>
      <c r="N8" s="68">
        <v>56</v>
      </c>
      <c r="O8" s="65">
        <f>D8*N8</f>
        <v>14000</v>
      </c>
      <c r="P8" s="68"/>
      <c r="Q8" s="65">
        <f>D8*P8</f>
        <v>0</v>
      </c>
      <c r="R8" s="68"/>
      <c r="S8" s="65">
        <f>D8*R8</f>
        <v>0</v>
      </c>
      <c r="T8" s="68">
        <v>56</v>
      </c>
      <c r="U8" s="65">
        <f>D8*T8</f>
        <v>14000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40000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40000</v>
      </c>
      <c r="H10" s="74"/>
      <c r="I10" s="75">
        <f>SUM(I6:I9)</f>
        <v>12000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14000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14000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40000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0.11071587372165403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4980</v>
      </c>
      <c r="H13" s="88">
        <v>6</v>
      </c>
      <c r="I13" s="83">
        <f>H13*D13</f>
        <v>1494</v>
      </c>
      <c r="J13" s="89"/>
      <c r="K13" s="83">
        <f>D13*J13</f>
        <v>0</v>
      </c>
      <c r="L13" s="90"/>
      <c r="M13" s="83">
        <f>D13*L13</f>
        <v>0</v>
      </c>
      <c r="N13" s="91">
        <v>7</v>
      </c>
      <c r="O13" s="83">
        <f>D13*N13</f>
        <v>1743</v>
      </c>
      <c r="P13" s="90"/>
      <c r="Q13" s="83">
        <f>D13*P13</f>
        <v>0</v>
      </c>
      <c r="R13" s="90"/>
      <c r="S13" s="83">
        <f>D13*R13</f>
        <v>0</v>
      </c>
      <c r="T13" s="90">
        <v>7</v>
      </c>
      <c r="U13" s="83">
        <f>D13*T13</f>
        <v>1743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4980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4980</v>
      </c>
      <c r="H15" s="80"/>
      <c r="I15" s="93">
        <f>SUM(I11:I14)</f>
        <v>1494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1743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1743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4980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44980</v>
      </c>
      <c r="H16" s="96">
        <f t="shared" ref="H16:AD16" si="0">SUM(H15,H10)</f>
        <v>0</v>
      </c>
      <c r="I16" s="97">
        <f>SUM(I15,I10)</f>
        <v>13494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15743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15743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44980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'10'!G42:H42</f>
        <v>0</v>
      </c>
      <c r="H30" s="152"/>
      <c r="I30" s="151">
        <f>'10'!I42:J42</f>
        <v>12</v>
      </c>
      <c r="J30" s="152"/>
      <c r="K30" s="151">
        <f>'10'!K42:L42</f>
        <v>0</v>
      </c>
      <c r="L30" s="152"/>
      <c r="M30" s="151">
        <f>'10'!M42:N42</f>
        <v>0</v>
      </c>
      <c r="N30" s="152"/>
      <c r="O30" s="151">
        <f>'10'!O42:P42</f>
        <v>0</v>
      </c>
      <c r="P30" s="152"/>
      <c r="Q30" s="151">
        <f>'10'!Q42:R42</f>
        <v>0</v>
      </c>
      <c r="R30" s="152"/>
      <c r="S30" s="151">
        <f>'10'!S42:T42</f>
        <v>0</v>
      </c>
      <c r="T30" s="152"/>
      <c r="U30" s="151">
        <f>'10'!U42:V42</f>
        <v>0</v>
      </c>
      <c r="V30" s="152"/>
      <c r="W30" s="151">
        <f>'10'!W42:X42</f>
        <v>0</v>
      </c>
      <c r="X30" s="152"/>
      <c r="Y30" s="151">
        <f>'10'!Y42:Z42</f>
        <v>73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176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48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7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7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56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20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160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28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249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8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89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H42" sqref="AH42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120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0.86117637688662341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43250</v>
      </c>
      <c r="H8" s="68">
        <v>63</v>
      </c>
      <c r="I8" s="65">
        <f>H8*D8</f>
        <v>15750</v>
      </c>
      <c r="J8" s="68"/>
      <c r="K8" s="65">
        <f>D8*J8</f>
        <v>0</v>
      </c>
      <c r="L8" s="68"/>
      <c r="M8" s="65">
        <f>D8*L8</f>
        <v>0</v>
      </c>
      <c r="N8" s="68">
        <v>70</v>
      </c>
      <c r="O8" s="65">
        <f>D8*N8</f>
        <v>17500</v>
      </c>
      <c r="P8" s="68"/>
      <c r="Q8" s="65">
        <f>D8*P8</f>
        <v>0</v>
      </c>
      <c r="R8" s="68"/>
      <c r="S8" s="65">
        <f>D8*R8</f>
        <v>0</v>
      </c>
      <c r="T8" s="68">
        <v>40</v>
      </c>
      <c r="U8" s="65">
        <f>D8*T8</f>
        <v>10000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43250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43250</v>
      </c>
      <c r="H10" s="74"/>
      <c r="I10" s="75">
        <f>SUM(I6:I9)</f>
        <v>15750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17500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10000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43250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0.13882362311337659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6972</v>
      </c>
      <c r="H13" s="88">
        <v>6</v>
      </c>
      <c r="I13" s="83">
        <f>H13*D13</f>
        <v>1494</v>
      </c>
      <c r="J13" s="89"/>
      <c r="K13" s="83">
        <f>D13*J13</f>
        <v>0</v>
      </c>
      <c r="L13" s="90"/>
      <c r="M13" s="83">
        <f>D13*L13</f>
        <v>0</v>
      </c>
      <c r="N13" s="91">
        <v>6</v>
      </c>
      <c r="O13" s="83">
        <f>D13*N13</f>
        <v>1494</v>
      </c>
      <c r="P13" s="90"/>
      <c r="Q13" s="83">
        <f>D13*P13</f>
        <v>0</v>
      </c>
      <c r="R13" s="90"/>
      <c r="S13" s="83">
        <f>D13*R13</f>
        <v>0</v>
      </c>
      <c r="T13" s="90">
        <v>16</v>
      </c>
      <c r="U13" s="83">
        <f>D13*T13</f>
        <v>3984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6972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6972</v>
      </c>
      <c r="H15" s="80"/>
      <c r="I15" s="93">
        <f>SUM(I11:I14)</f>
        <v>1494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1494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3984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6972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50222</v>
      </c>
      <c r="H16" s="96">
        <f t="shared" ref="H16:AD16" si="0">SUM(H15,H10)</f>
        <v>0</v>
      </c>
      <c r="I16" s="97">
        <f>SUM(I15,I10)</f>
        <v>17244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18994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13984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50222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'11'!G42:H42</f>
        <v>0</v>
      </c>
      <c r="H30" s="152"/>
      <c r="I30" s="151">
        <f>'11'!I42:J42</f>
        <v>8</v>
      </c>
      <c r="J30" s="152"/>
      <c r="K30" s="151">
        <f>'11'!K42:L42</f>
        <v>0</v>
      </c>
      <c r="L30" s="152"/>
      <c r="M30" s="151">
        <f>'11'!M42:N42</f>
        <v>0</v>
      </c>
      <c r="N30" s="152"/>
      <c r="O30" s="151">
        <f>'11'!O42:P42</f>
        <v>0</v>
      </c>
      <c r="P30" s="152"/>
      <c r="Q30" s="151">
        <f>'11'!Q42:R42</f>
        <v>0</v>
      </c>
      <c r="R30" s="152"/>
      <c r="S30" s="151">
        <f>'11'!S42:T42</f>
        <v>0</v>
      </c>
      <c r="T30" s="152"/>
      <c r="U30" s="151">
        <f>'11'!U42:V42</f>
        <v>0</v>
      </c>
      <c r="V30" s="152"/>
      <c r="W30" s="151">
        <f>'11'!W42:X42</f>
        <v>0</v>
      </c>
      <c r="X30" s="152"/>
      <c r="Y30" s="151">
        <f>'11'!Y42:Z42</f>
        <v>89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32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192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63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70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16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40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28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173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40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281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12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108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45" sqref="AA45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8" customWidth="1"/>
    <col min="24" max="24" width="4.58203125" customWidth="1"/>
    <col min="25" max="25" width="10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121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 t="s">
        <v>103</v>
      </c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0.7008410092110533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29750</v>
      </c>
      <c r="H8" s="68">
        <v>49</v>
      </c>
      <c r="I8" s="65">
        <f>H8*D8</f>
        <v>12250</v>
      </c>
      <c r="J8" s="68"/>
      <c r="K8" s="65">
        <f>D8*J8</f>
        <v>0</v>
      </c>
      <c r="L8" s="68"/>
      <c r="M8" s="65">
        <f>D8*L8</f>
        <v>0</v>
      </c>
      <c r="N8" s="68">
        <v>28</v>
      </c>
      <c r="O8" s="65">
        <f>D8*N8</f>
        <v>7000</v>
      </c>
      <c r="P8" s="68"/>
      <c r="Q8" s="65">
        <f>D8*P8</f>
        <v>0</v>
      </c>
      <c r="R8" s="68"/>
      <c r="S8" s="65">
        <f>D8*R8</f>
        <v>0</v>
      </c>
      <c r="T8" s="68">
        <v>42</v>
      </c>
      <c r="U8" s="65">
        <f>D8*T8</f>
        <v>10500</v>
      </c>
      <c r="V8" s="68"/>
      <c r="W8" s="65">
        <f>D8*V8</f>
        <v>0</v>
      </c>
      <c r="X8" s="68"/>
      <c r="Y8" s="65">
        <f>D8*X8</f>
        <v>0</v>
      </c>
      <c r="Z8" s="69">
        <f>SUM(I8,O8,U8)</f>
        <v>29750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29750</v>
      </c>
      <c r="H10" s="74"/>
      <c r="I10" s="75">
        <f>SUM(I6:I9)</f>
        <v>12250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7000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10500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29750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0.2991589907889467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12699</v>
      </c>
      <c r="H13" s="88">
        <v>21</v>
      </c>
      <c r="I13" s="83">
        <f>H13*D13</f>
        <v>5229</v>
      </c>
      <c r="J13" s="89"/>
      <c r="K13" s="83">
        <f>D13*J13</f>
        <v>0</v>
      </c>
      <c r="L13" s="90"/>
      <c r="M13" s="83">
        <f>D13*L13</f>
        <v>0</v>
      </c>
      <c r="N13" s="91">
        <v>12</v>
      </c>
      <c r="O13" s="83">
        <f>D13*N13</f>
        <v>2988</v>
      </c>
      <c r="P13" s="90"/>
      <c r="Q13" s="83">
        <f>D13*P13</f>
        <v>0</v>
      </c>
      <c r="R13" s="90"/>
      <c r="S13" s="83">
        <f>D13*R13</f>
        <v>0</v>
      </c>
      <c r="T13" s="90">
        <v>18</v>
      </c>
      <c r="U13" s="83">
        <f>D13*T13</f>
        <v>4482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12699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12699</v>
      </c>
      <c r="H15" s="80"/>
      <c r="I15" s="93">
        <f>SUM(I11:I14)</f>
        <v>5229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2988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4482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12699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42449</v>
      </c>
      <c r="H16" s="96">
        <f t="shared" ref="H16:AD16" si="0">SUM(H15,H10)</f>
        <v>0</v>
      </c>
      <c r="I16" s="97">
        <f>SUM(I15,I10)</f>
        <v>17479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9988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14982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42449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'12'!G42:H42</f>
        <v>0</v>
      </c>
      <c r="H30" s="152"/>
      <c r="I30" s="151">
        <f>'12'!I42:J42</f>
        <v>12</v>
      </c>
      <c r="J30" s="152"/>
      <c r="K30" s="151">
        <f>'12'!K42:L42</f>
        <v>0</v>
      </c>
      <c r="L30" s="152"/>
      <c r="M30" s="151">
        <f>'12'!M42:N42</f>
        <v>0</v>
      </c>
      <c r="N30" s="152"/>
      <c r="O30" s="151">
        <f>'12'!O42:P42</f>
        <v>0</v>
      </c>
      <c r="P30" s="152"/>
      <c r="Q30" s="151">
        <f>'12'!Q42:R42</f>
        <v>0</v>
      </c>
      <c r="R30" s="152"/>
      <c r="S30" s="151">
        <f>'12'!S42:T42</f>
        <v>0</v>
      </c>
      <c r="T30" s="152"/>
      <c r="U30" s="151">
        <f>'12'!U42:V42</f>
        <v>0</v>
      </c>
      <c r="V30" s="152"/>
      <c r="W30" s="151">
        <f>'12'!W42:X42</f>
        <v>0</v>
      </c>
      <c r="X30" s="152"/>
      <c r="Y30" s="151">
        <f>'12'!Y42:Z42</f>
        <v>108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64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96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21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49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12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28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18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42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51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119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76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204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25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85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B47" sqref="AB47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122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103</v>
      </c>
      <c r="I4" s="123"/>
      <c r="J4" s="123"/>
      <c r="K4" s="123"/>
      <c r="L4" s="123"/>
      <c r="M4" s="124"/>
      <c r="N4" s="122" t="s">
        <v>103</v>
      </c>
      <c r="O4" s="123"/>
      <c r="P4" s="123"/>
      <c r="Q4" s="123"/>
      <c r="R4" s="123"/>
      <c r="S4" s="124"/>
      <c r="T4" s="122" t="s">
        <v>103</v>
      </c>
      <c r="U4" s="123"/>
      <c r="V4" s="123"/>
      <c r="W4" s="123"/>
      <c r="X4" s="123"/>
      <c r="Y4" s="124"/>
      <c r="Z4" s="122" t="s">
        <v>103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0.7008410092110533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36750</v>
      </c>
      <c r="H8" s="68">
        <v>49</v>
      </c>
      <c r="I8" s="65">
        <f>H8*D8</f>
        <v>12250</v>
      </c>
      <c r="J8" s="68"/>
      <c r="K8" s="65">
        <f>D8*J8</f>
        <v>0</v>
      </c>
      <c r="L8" s="68"/>
      <c r="M8" s="65">
        <f>D8*L8</f>
        <v>0</v>
      </c>
      <c r="N8" s="68">
        <v>49</v>
      </c>
      <c r="O8" s="65">
        <f>D8*N8</f>
        <v>12250</v>
      </c>
      <c r="P8" s="68"/>
      <c r="Q8" s="65">
        <f>D8*P8</f>
        <v>0</v>
      </c>
      <c r="R8" s="68"/>
      <c r="S8" s="65">
        <f>D8*R8</f>
        <v>0</v>
      </c>
      <c r="T8" s="68">
        <v>49</v>
      </c>
      <c r="U8" s="65">
        <f>D8*T8</f>
        <v>12250</v>
      </c>
      <c r="V8" s="68"/>
      <c r="W8" s="65">
        <f>D8*V8</f>
        <v>0</v>
      </c>
      <c r="X8" s="68"/>
      <c r="Y8" s="65">
        <f>D8*X8</f>
        <v>0</v>
      </c>
      <c r="Z8" s="69">
        <f>SUM(I8,O8,U8)</f>
        <v>36750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36750</v>
      </c>
      <c r="H10" s="74"/>
      <c r="I10" s="75">
        <f>SUM(I6:I9)</f>
        <v>12250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12250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12250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36750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0.2991589907889467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15687</v>
      </c>
      <c r="H13" s="88">
        <v>21</v>
      </c>
      <c r="I13" s="83">
        <f>H13*D13</f>
        <v>5229</v>
      </c>
      <c r="J13" s="89"/>
      <c r="K13" s="83">
        <f>D13*J13</f>
        <v>0</v>
      </c>
      <c r="L13" s="90"/>
      <c r="M13" s="83">
        <f>D13*L13</f>
        <v>0</v>
      </c>
      <c r="N13" s="91">
        <v>21</v>
      </c>
      <c r="O13" s="83">
        <f>D13*N13</f>
        <v>5229</v>
      </c>
      <c r="P13" s="90"/>
      <c r="Q13" s="83">
        <f>D13*P13</f>
        <v>0</v>
      </c>
      <c r="R13" s="90"/>
      <c r="S13" s="83">
        <f>D13*R13</f>
        <v>0</v>
      </c>
      <c r="T13" s="90">
        <v>21</v>
      </c>
      <c r="U13" s="83">
        <f>D13*T13</f>
        <v>5229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15687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15687</v>
      </c>
      <c r="H15" s="80"/>
      <c r="I15" s="93">
        <f>SUM(I11:I14)</f>
        <v>5229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5229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5229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15687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52437</v>
      </c>
      <c r="H16" s="96">
        <f t="shared" ref="H16:AD16" si="0">SUM(H15,H10)</f>
        <v>0</v>
      </c>
      <c r="I16" s="97">
        <f>SUM(I15,I10)</f>
        <v>17479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17479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17479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52437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'13'!G42:H42</f>
        <v>0</v>
      </c>
      <c r="H30" s="152"/>
      <c r="I30" s="151">
        <f>'13'!I42:J42</f>
        <v>25</v>
      </c>
      <c r="J30" s="152"/>
      <c r="K30" s="151">
        <f>'13'!K42:L42</f>
        <v>0</v>
      </c>
      <c r="L30" s="152"/>
      <c r="M30" s="151">
        <f>'13'!M42:N42</f>
        <v>0</v>
      </c>
      <c r="N30" s="152"/>
      <c r="O30" s="151">
        <f>'13'!O42:P42</f>
        <v>0</v>
      </c>
      <c r="P30" s="152"/>
      <c r="Q30" s="151">
        <f>'13'!Q42:R42</f>
        <v>0</v>
      </c>
      <c r="R30" s="152"/>
      <c r="S30" s="151">
        <f>'13'!S42:T42</f>
        <v>0</v>
      </c>
      <c r="T30" s="152"/>
      <c r="U30" s="151">
        <f>'13'!U42:V42</f>
        <v>0</v>
      </c>
      <c r="V30" s="152"/>
      <c r="W30" s="151">
        <f>'13'!W42:X42</f>
        <v>0</v>
      </c>
      <c r="X30" s="152"/>
      <c r="Y30" s="151">
        <f>'13'!Y42:Z42</f>
        <v>85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64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144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21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49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21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49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21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49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63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147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89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229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26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82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D43" sqref="AD4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7.33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124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103</v>
      </c>
      <c r="I4" s="123"/>
      <c r="J4" s="123" t="s">
        <v>53</v>
      </c>
      <c r="K4" s="123"/>
      <c r="L4" s="123"/>
      <c r="M4" s="124"/>
      <c r="N4" s="122" t="s">
        <v>103</v>
      </c>
      <c r="O4" s="123"/>
      <c r="P4" s="123" t="s">
        <v>53</v>
      </c>
      <c r="Q4" s="123"/>
      <c r="R4" s="123"/>
      <c r="S4" s="124"/>
      <c r="T4" s="122" t="s">
        <v>103</v>
      </c>
      <c r="U4" s="123"/>
      <c r="V4" s="123" t="s">
        <v>53</v>
      </c>
      <c r="W4" s="123"/>
      <c r="X4" s="123"/>
      <c r="Y4" s="124"/>
      <c r="Z4" s="122" t="s">
        <v>103</v>
      </c>
      <c r="AA4" s="123"/>
      <c r="AB4" s="123" t="s">
        <v>53</v>
      </c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0.67795903041428507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32500</v>
      </c>
      <c r="H8" s="68">
        <v>32</v>
      </c>
      <c r="I8" s="65">
        <f>H8*D8</f>
        <v>8000</v>
      </c>
      <c r="J8" s="68"/>
      <c r="K8" s="65">
        <f>D8*J8</f>
        <v>0</v>
      </c>
      <c r="L8" s="68"/>
      <c r="M8" s="65">
        <f>D8*L8</f>
        <v>0</v>
      </c>
      <c r="N8" s="68">
        <v>49</v>
      </c>
      <c r="O8" s="65">
        <f>D8*N8</f>
        <v>12250</v>
      </c>
      <c r="P8" s="68"/>
      <c r="Q8" s="65">
        <f>D8*P8</f>
        <v>0</v>
      </c>
      <c r="R8" s="68"/>
      <c r="S8" s="65">
        <f>D8*R8</f>
        <v>0</v>
      </c>
      <c r="T8" s="68">
        <v>49</v>
      </c>
      <c r="U8" s="65">
        <f>D8*T8</f>
        <v>12250</v>
      </c>
      <c r="V8" s="68"/>
      <c r="W8" s="65">
        <f>D8*V8</f>
        <v>0</v>
      </c>
      <c r="X8" s="68"/>
      <c r="Y8" s="65">
        <f>D8*X8</f>
        <v>0</v>
      </c>
      <c r="Z8" s="69">
        <f>SUM(I8,O8,U8)</f>
        <v>32500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32500</v>
      </c>
      <c r="H10" s="74"/>
      <c r="I10" s="75">
        <f>SUM(I6:I9)</f>
        <v>8000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12250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12250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32500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0.32204096958571493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15438</v>
      </c>
      <c r="H13" s="88">
        <v>20</v>
      </c>
      <c r="I13" s="83">
        <f>H13*D13</f>
        <v>4980</v>
      </c>
      <c r="J13" s="89"/>
      <c r="K13" s="83">
        <f>D13*J13</f>
        <v>0</v>
      </c>
      <c r="L13" s="90"/>
      <c r="M13" s="83">
        <f>D13*L13</f>
        <v>0</v>
      </c>
      <c r="N13" s="91">
        <v>21</v>
      </c>
      <c r="O13" s="83">
        <f>D13*N13</f>
        <v>5229</v>
      </c>
      <c r="P13" s="90"/>
      <c r="Q13" s="83">
        <f>D13*P13</f>
        <v>0</v>
      </c>
      <c r="R13" s="90"/>
      <c r="S13" s="83">
        <f>D13*R13</f>
        <v>0</v>
      </c>
      <c r="T13" s="90">
        <v>21</v>
      </c>
      <c r="U13" s="83">
        <f>D13*T13</f>
        <v>5229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15438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15438</v>
      </c>
      <c r="H15" s="80"/>
      <c r="I15" s="93">
        <f>SUM(I11:I14)</f>
        <v>4980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5229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5229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15438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47938</v>
      </c>
      <c r="H16" s="96">
        <f t="shared" ref="H16:AD16" si="0">SUM(H15,H10)</f>
        <v>0</v>
      </c>
      <c r="I16" s="97">
        <f>SUM(I15,I10)</f>
        <v>12980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17479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17479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47938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'14'!G42:H42</f>
        <v>0</v>
      </c>
      <c r="H30" s="152"/>
      <c r="I30" s="151">
        <f>'14'!I42:J42</f>
        <v>26</v>
      </c>
      <c r="J30" s="152"/>
      <c r="K30" s="151">
        <f>'14'!K42:L42</f>
        <v>0</v>
      </c>
      <c r="L30" s="152"/>
      <c r="M30" s="151">
        <f>'14'!M42:N42</f>
        <v>0</v>
      </c>
      <c r="N30" s="152"/>
      <c r="O30" s="151">
        <f>'14'!O42:P42</f>
        <v>0</v>
      </c>
      <c r="P30" s="152"/>
      <c r="Q30" s="151">
        <f>'14'!Q42:R42</f>
        <v>0</v>
      </c>
      <c r="R30" s="152"/>
      <c r="S30" s="151">
        <f>'14'!S42:T42</f>
        <v>0</v>
      </c>
      <c r="T30" s="152"/>
      <c r="U30" s="151">
        <f>'14'!U42:V42</f>
        <v>0</v>
      </c>
      <c r="V30" s="152"/>
      <c r="W30" s="151">
        <f>'14'!W42:X42</f>
        <v>0</v>
      </c>
      <c r="X30" s="152"/>
      <c r="Y30" s="151">
        <f>'14'!Y42:Z42</f>
        <v>82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48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128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20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32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21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49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21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49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62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130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74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210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12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80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O33" sqref="O33:P3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123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103</v>
      </c>
      <c r="I4" s="123"/>
      <c r="J4" s="123"/>
      <c r="K4" s="123"/>
      <c r="L4" s="123"/>
      <c r="M4" s="124"/>
      <c r="N4" s="122" t="s">
        <v>103</v>
      </c>
      <c r="O4" s="123"/>
      <c r="P4" s="123"/>
      <c r="Q4" s="123"/>
      <c r="R4" s="123"/>
      <c r="S4" s="124"/>
      <c r="T4" s="122" t="s">
        <v>103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0.7008410092110533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33250</v>
      </c>
      <c r="H8" s="68">
        <v>42</v>
      </c>
      <c r="I8" s="65">
        <f>H8*D8</f>
        <v>10500</v>
      </c>
      <c r="J8" s="68"/>
      <c r="K8" s="65">
        <f>D8*J8</f>
        <v>0</v>
      </c>
      <c r="L8" s="68"/>
      <c r="M8" s="65">
        <f>D8*L8</f>
        <v>0</v>
      </c>
      <c r="N8" s="68">
        <v>49</v>
      </c>
      <c r="O8" s="65">
        <f>D8*N8</f>
        <v>12250</v>
      </c>
      <c r="P8" s="68"/>
      <c r="Q8" s="65">
        <f>D8*P8</f>
        <v>0</v>
      </c>
      <c r="R8" s="68"/>
      <c r="S8" s="65">
        <f>D8*R8</f>
        <v>0</v>
      </c>
      <c r="T8" s="68">
        <v>42</v>
      </c>
      <c r="U8" s="65">
        <f>D8*T8</f>
        <v>10500</v>
      </c>
      <c r="V8" s="68"/>
      <c r="W8" s="65">
        <f>D8*V8</f>
        <v>0</v>
      </c>
      <c r="X8" s="68"/>
      <c r="Y8" s="65">
        <f>D8*X8</f>
        <v>0</v>
      </c>
      <c r="Z8" s="69">
        <f>SUM(I8,O8,U8)</f>
        <v>33250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33250</v>
      </c>
      <c r="H10" s="74"/>
      <c r="I10" s="75">
        <f>SUM(I6:I9)</f>
        <v>10500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12250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10500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33250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0.2991589907889467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14193</v>
      </c>
      <c r="H13" s="88">
        <v>18</v>
      </c>
      <c r="I13" s="83">
        <f>H13*D13</f>
        <v>4482</v>
      </c>
      <c r="J13" s="89"/>
      <c r="K13" s="83">
        <f>D13*J13</f>
        <v>0</v>
      </c>
      <c r="L13" s="90"/>
      <c r="M13" s="83">
        <f>D13*L13</f>
        <v>0</v>
      </c>
      <c r="N13" s="91">
        <v>21</v>
      </c>
      <c r="O13" s="83">
        <f>D13*N13</f>
        <v>5229</v>
      </c>
      <c r="P13" s="90"/>
      <c r="Q13" s="83">
        <f>D13*P13</f>
        <v>0</v>
      </c>
      <c r="R13" s="90"/>
      <c r="S13" s="83">
        <f>D13*R13</f>
        <v>0</v>
      </c>
      <c r="T13" s="90">
        <v>18</v>
      </c>
      <c r="U13" s="83">
        <f>D13*T13</f>
        <v>4482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14193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14193</v>
      </c>
      <c r="H15" s="80"/>
      <c r="I15" s="93">
        <f>SUM(I11:I14)</f>
        <v>4482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5229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4482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14193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47443</v>
      </c>
      <c r="H16" s="96">
        <f t="shared" ref="H16:AD16" si="0">SUM(H15,H10)</f>
        <v>0</v>
      </c>
      <c r="I16" s="97">
        <f>SUM(I15,I10)</f>
        <v>14982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17479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14982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47443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'15'!G42:H42</f>
        <v>0</v>
      </c>
      <c r="H30" s="152"/>
      <c r="I30" s="151">
        <f>'15'!I42:J42</f>
        <v>12</v>
      </c>
      <c r="J30" s="152"/>
      <c r="K30" s="151">
        <f>'15'!K42:L42</f>
        <v>0</v>
      </c>
      <c r="L30" s="152"/>
      <c r="M30" s="151">
        <f>'15'!M42:N42</f>
        <v>0</v>
      </c>
      <c r="N30" s="152"/>
      <c r="O30" s="151">
        <f>'15'!O42:P42</f>
        <v>0</v>
      </c>
      <c r="P30" s="152"/>
      <c r="Q30" s="151">
        <f>'15'!Q42:R42</f>
        <v>0</v>
      </c>
      <c r="R30" s="152"/>
      <c r="S30" s="151">
        <f>'15'!S42:T42</f>
        <v>0</v>
      </c>
      <c r="T30" s="152"/>
      <c r="U30" s="151">
        <f>'15'!U42:V42</f>
        <v>0</v>
      </c>
      <c r="V30" s="152"/>
      <c r="W30" s="151">
        <f>'15'!W42:X42</f>
        <v>0</v>
      </c>
      <c r="X30" s="152"/>
      <c r="Y30" s="151">
        <f>'15'!Y42:Z42</f>
        <v>80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64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144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18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42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21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49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18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42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57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133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76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224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19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91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3" sqref="AA33:AE3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125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0.88243890375233258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39250</v>
      </c>
      <c r="H8" s="68">
        <v>53</v>
      </c>
      <c r="I8" s="65">
        <f>H8*D8</f>
        <v>13250</v>
      </c>
      <c r="J8" s="68"/>
      <c r="K8" s="65">
        <f>D8*J8</f>
        <v>0</v>
      </c>
      <c r="L8" s="68"/>
      <c r="M8" s="65">
        <f>D8*L8</f>
        <v>0</v>
      </c>
      <c r="N8" s="68">
        <v>56</v>
      </c>
      <c r="O8" s="65">
        <f>D8*N8</f>
        <v>14000</v>
      </c>
      <c r="P8" s="68"/>
      <c r="Q8" s="65">
        <f>D8*P8</f>
        <v>0</v>
      </c>
      <c r="R8" s="68"/>
      <c r="S8" s="65">
        <f>D8*R8</f>
        <v>0</v>
      </c>
      <c r="T8" s="68">
        <v>48</v>
      </c>
      <c r="U8" s="65">
        <f>D8*T8</f>
        <v>12000</v>
      </c>
      <c r="V8" s="68"/>
      <c r="W8" s="65">
        <f>D8*V8</f>
        <v>0</v>
      </c>
      <c r="X8" s="68"/>
      <c r="Y8" s="65">
        <f>D8*X8</f>
        <v>0</v>
      </c>
      <c r="Z8" s="69">
        <f>SUM(I8,O8,U8)</f>
        <v>39250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39250</v>
      </c>
      <c r="H10" s="74"/>
      <c r="I10" s="75">
        <f>SUM(I6:I9)</f>
        <v>13250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14000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12000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39250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0.11756109624766742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5229</v>
      </c>
      <c r="H13" s="88">
        <v>8</v>
      </c>
      <c r="I13" s="83">
        <f>H13*D13</f>
        <v>1992</v>
      </c>
      <c r="J13" s="89"/>
      <c r="K13" s="83">
        <f>D13*J13</f>
        <v>0</v>
      </c>
      <c r="L13" s="90"/>
      <c r="M13" s="83">
        <f>D13*L13</f>
        <v>0</v>
      </c>
      <c r="N13" s="91">
        <v>7</v>
      </c>
      <c r="O13" s="83">
        <f>D13*N13</f>
        <v>1743</v>
      </c>
      <c r="P13" s="90"/>
      <c r="Q13" s="83">
        <f>D13*P13</f>
        <v>0</v>
      </c>
      <c r="R13" s="90"/>
      <c r="S13" s="83">
        <f>D13*R13</f>
        <v>0</v>
      </c>
      <c r="T13" s="90">
        <v>6</v>
      </c>
      <c r="U13" s="83">
        <f>D13*T13</f>
        <v>1494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5229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5229</v>
      </c>
      <c r="H15" s="80"/>
      <c r="I15" s="93">
        <f>SUM(I11:I14)</f>
        <v>1992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1743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1494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5229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44479</v>
      </c>
      <c r="H16" s="96">
        <f t="shared" ref="H16:AD16" si="0">SUM(H15,H10)</f>
        <v>0</v>
      </c>
      <c r="I16" s="97">
        <f>SUM(I15,I10)</f>
        <v>15242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15743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13494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44479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'16'!G42:H42</f>
        <v>0</v>
      </c>
      <c r="H30" s="152"/>
      <c r="I30" s="151">
        <f>'16'!I42:J42</f>
        <v>19</v>
      </c>
      <c r="J30" s="152"/>
      <c r="K30" s="151">
        <f>'16'!K42:L42</f>
        <v>0</v>
      </c>
      <c r="L30" s="152"/>
      <c r="M30" s="151">
        <f>'16'!M42:N42</f>
        <v>0</v>
      </c>
      <c r="N30" s="152"/>
      <c r="O30" s="151">
        <f>'16'!O42:P42</f>
        <v>0</v>
      </c>
      <c r="P30" s="152"/>
      <c r="Q30" s="151">
        <f>'16'!Q42:R42</f>
        <v>0</v>
      </c>
      <c r="R30" s="152"/>
      <c r="S30" s="151">
        <f>'16'!S42:T42</f>
        <v>0</v>
      </c>
      <c r="T30" s="152"/>
      <c r="U30" s="151">
        <f>'16'!U42:V42</f>
        <v>0</v>
      </c>
      <c r="V30" s="152"/>
      <c r="W30" s="151">
        <f>'16'!W42:X42</f>
        <v>0</v>
      </c>
      <c r="X30" s="152"/>
      <c r="Y30" s="151">
        <f>'16'!Y42:Z42</f>
        <v>91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160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8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53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7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6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48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21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157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35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251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14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94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J28" sqref="AJ2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" customWidth="1"/>
    <col min="17" max="17" width="7.7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8.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126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 t="s">
        <v>103</v>
      </c>
      <c r="K4" s="123"/>
      <c r="L4" s="123"/>
      <c r="M4" s="124"/>
      <c r="N4" s="122" t="s">
        <v>53</v>
      </c>
      <c r="O4" s="123"/>
      <c r="P4" s="123" t="s">
        <v>103</v>
      </c>
      <c r="Q4" s="123"/>
      <c r="R4" s="123"/>
      <c r="S4" s="124"/>
      <c r="T4" s="122" t="s">
        <v>53</v>
      </c>
      <c r="U4" s="123"/>
      <c r="V4" s="123" t="s">
        <v>103</v>
      </c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0.91235805190715247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49250</v>
      </c>
      <c r="H8" s="68">
        <v>54</v>
      </c>
      <c r="I8" s="65">
        <f>H8*D8</f>
        <v>13500</v>
      </c>
      <c r="J8" s="68"/>
      <c r="K8" s="65">
        <f>D8*J8</f>
        <v>0</v>
      </c>
      <c r="L8" s="68"/>
      <c r="M8" s="65">
        <f>D8*L8</f>
        <v>0</v>
      </c>
      <c r="N8" s="68">
        <v>66</v>
      </c>
      <c r="O8" s="65">
        <f>D8*N8</f>
        <v>16500</v>
      </c>
      <c r="P8" s="68"/>
      <c r="Q8" s="65">
        <f>D8*P8</f>
        <v>0</v>
      </c>
      <c r="R8" s="68"/>
      <c r="S8" s="65">
        <f>D8*R8</f>
        <v>0</v>
      </c>
      <c r="T8" s="68">
        <v>77</v>
      </c>
      <c r="U8" s="65">
        <f>D8*T8</f>
        <v>19250</v>
      </c>
      <c r="V8" s="68"/>
      <c r="W8" s="65">
        <f>D8*V8</f>
        <v>0</v>
      </c>
      <c r="X8" s="68"/>
      <c r="Y8" s="65">
        <f>D8*X8</f>
        <v>0</v>
      </c>
      <c r="Z8" s="69">
        <f>SUM(I8,O8,U8)</f>
        <v>49250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49250</v>
      </c>
      <c r="H10" s="74"/>
      <c r="I10" s="75">
        <f>SUM(I6:I9)</f>
        <v>13500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16500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19250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49250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8.7641948092847533E-2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4731</v>
      </c>
      <c r="H13" s="88">
        <v>6</v>
      </c>
      <c r="I13" s="83">
        <f>H13*D13</f>
        <v>1494</v>
      </c>
      <c r="J13" s="89"/>
      <c r="K13" s="83">
        <f>D13*J13</f>
        <v>0</v>
      </c>
      <c r="L13" s="90"/>
      <c r="M13" s="83">
        <f>D13*L13</f>
        <v>0</v>
      </c>
      <c r="N13" s="91">
        <v>6</v>
      </c>
      <c r="O13" s="83">
        <f>D13*N13</f>
        <v>1494</v>
      </c>
      <c r="P13" s="90"/>
      <c r="Q13" s="83">
        <f>D13*P13</f>
        <v>0</v>
      </c>
      <c r="R13" s="90"/>
      <c r="S13" s="83">
        <f>D13*R13</f>
        <v>0</v>
      </c>
      <c r="T13" s="90">
        <v>7</v>
      </c>
      <c r="U13" s="83">
        <f>D13*T13</f>
        <v>1743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4731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4731</v>
      </c>
      <c r="H15" s="80"/>
      <c r="I15" s="93">
        <f>SUM(I11:I14)</f>
        <v>1494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1494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1743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4731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53981</v>
      </c>
      <c r="H16" s="96">
        <f t="shared" ref="H16:AD16" si="0">SUM(H15,H10)</f>
        <v>0</v>
      </c>
      <c r="I16" s="97">
        <f>SUM(I15,I10)</f>
        <v>14994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17994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20993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53981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'17'!G42:H42</f>
        <v>0</v>
      </c>
      <c r="H30" s="152"/>
      <c r="I30" s="151">
        <f>'17'!I42:J42</f>
        <v>14</v>
      </c>
      <c r="J30" s="152"/>
      <c r="K30" s="151">
        <f>'17'!K42:L42</f>
        <v>0</v>
      </c>
      <c r="L30" s="152"/>
      <c r="M30" s="151">
        <f>'17'!M42:N42</f>
        <v>0</v>
      </c>
      <c r="N30" s="152"/>
      <c r="O30" s="151">
        <f>'17'!O42:P42</f>
        <v>0</v>
      </c>
      <c r="P30" s="152"/>
      <c r="Q30" s="151">
        <f>'17'!Q42:R42</f>
        <v>0</v>
      </c>
      <c r="R30" s="152"/>
      <c r="S30" s="151">
        <f>'17'!S42:T42</f>
        <v>0</v>
      </c>
      <c r="T30" s="152"/>
      <c r="U30" s="151">
        <f>'17'!U42:V42</f>
        <v>0</v>
      </c>
      <c r="V30" s="152"/>
      <c r="W30" s="151">
        <f>'17'!W42:X42</f>
        <v>0</v>
      </c>
      <c r="X30" s="152"/>
      <c r="Y30" s="151">
        <f>'17'!Y42:Z42</f>
        <v>94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224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54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7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77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19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197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30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318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11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121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O36" sqref="O36:P36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127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0.8978042273753335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43750</v>
      </c>
      <c r="H8" s="68">
        <v>63</v>
      </c>
      <c r="I8" s="65">
        <f>H8*D8</f>
        <v>15750</v>
      </c>
      <c r="J8" s="68"/>
      <c r="K8" s="65">
        <f>D8*J8</f>
        <v>0</v>
      </c>
      <c r="L8" s="68"/>
      <c r="M8" s="65">
        <f>D8*L8</f>
        <v>0</v>
      </c>
      <c r="N8" s="68">
        <v>54</v>
      </c>
      <c r="O8" s="65">
        <f>D8*N8</f>
        <v>13500</v>
      </c>
      <c r="P8" s="68"/>
      <c r="Q8" s="65">
        <f>D8*P8</f>
        <v>0</v>
      </c>
      <c r="R8" s="68"/>
      <c r="S8" s="65">
        <f>D8*R8</f>
        <v>0</v>
      </c>
      <c r="T8" s="68">
        <v>58</v>
      </c>
      <c r="U8" s="65">
        <f>D8*T8</f>
        <v>14500</v>
      </c>
      <c r="V8" s="68"/>
      <c r="W8" s="65">
        <f>D8*V8</f>
        <v>0</v>
      </c>
      <c r="X8" s="68"/>
      <c r="Y8" s="65">
        <f>D8*X8</f>
        <v>0</v>
      </c>
      <c r="Z8" s="69">
        <f>SUM(I8,O8,U8)</f>
        <v>43750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43750</v>
      </c>
      <c r="H10" s="74"/>
      <c r="I10" s="75">
        <f>SUM(I6:I9)</f>
        <v>15750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13500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14500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43750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0.1021957726246665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4980</v>
      </c>
      <c r="H13" s="88">
        <v>7</v>
      </c>
      <c r="I13" s="83">
        <f>H13*D13</f>
        <v>1743</v>
      </c>
      <c r="J13" s="89"/>
      <c r="K13" s="83">
        <f>D13*J13</f>
        <v>0</v>
      </c>
      <c r="L13" s="90"/>
      <c r="M13" s="83">
        <f>D13*L13</f>
        <v>0</v>
      </c>
      <c r="N13" s="91">
        <v>6</v>
      </c>
      <c r="O13" s="83">
        <f>D13*N13</f>
        <v>1494</v>
      </c>
      <c r="P13" s="90"/>
      <c r="Q13" s="83">
        <f>D13*P13</f>
        <v>0</v>
      </c>
      <c r="R13" s="90"/>
      <c r="S13" s="83">
        <f>D13*R13</f>
        <v>0</v>
      </c>
      <c r="T13" s="90">
        <v>7</v>
      </c>
      <c r="U13" s="83">
        <f>D13*T13</f>
        <v>1743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4980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4980</v>
      </c>
      <c r="H15" s="80"/>
      <c r="I15" s="93">
        <f>SUM(I11:I14)</f>
        <v>1743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1494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1743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4980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48730</v>
      </c>
      <c r="H16" s="96">
        <f t="shared" ref="H16:AD16" si="0">SUM(H15,H10)</f>
        <v>0</v>
      </c>
      <c r="I16" s="97">
        <f>SUM(I15,I10)</f>
        <v>17493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14994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16243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48730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'18'!G42:H42</f>
        <v>0</v>
      </c>
      <c r="H30" s="152"/>
      <c r="I30" s="151">
        <f>'18'!I42:J42</f>
        <v>11</v>
      </c>
      <c r="J30" s="152"/>
      <c r="K30" s="151">
        <f>'18'!K42:L42</f>
        <v>0</v>
      </c>
      <c r="L30" s="152"/>
      <c r="M30" s="151">
        <f>'18'!M42:N42</f>
        <v>0</v>
      </c>
      <c r="N30" s="152"/>
      <c r="O30" s="151">
        <f>'18'!O42:P42</f>
        <v>0</v>
      </c>
      <c r="P30" s="152"/>
      <c r="Q30" s="151">
        <f>'18'!Q42:R42</f>
        <v>0</v>
      </c>
      <c r="R30" s="152"/>
      <c r="S30" s="151">
        <f>'18'!S42:T42</f>
        <v>0</v>
      </c>
      <c r="T30" s="152"/>
      <c r="U30" s="151">
        <f>'18'!U42:V42</f>
        <v>0</v>
      </c>
      <c r="V30" s="152"/>
      <c r="W30" s="151">
        <f>'18'!W42:X42</f>
        <v>0</v>
      </c>
      <c r="X30" s="152"/>
      <c r="Y30" s="151">
        <f>'18'!Y42:Z42</f>
        <v>121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192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7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63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54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7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58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20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175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27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313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7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138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O36" sqref="O36:P36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8.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9.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128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 t="s">
        <v>53</v>
      </c>
      <c r="K4" s="123"/>
      <c r="L4" s="123"/>
      <c r="M4" s="124"/>
      <c r="N4" s="122" t="s">
        <v>53</v>
      </c>
      <c r="O4" s="123"/>
      <c r="P4" s="123" t="s">
        <v>53</v>
      </c>
      <c r="Q4" s="123"/>
      <c r="R4" s="123"/>
      <c r="S4" s="124"/>
      <c r="T4" s="122" t="s">
        <v>53</v>
      </c>
      <c r="U4" s="123"/>
      <c r="V4" s="123" t="s">
        <v>53</v>
      </c>
      <c r="W4" s="123"/>
      <c r="X4" s="123"/>
      <c r="Y4" s="124"/>
      <c r="Z4" s="122" t="s">
        <v>53</v>
      </c>
      <c r="AA4" s="123"/>
      <c r="AB4" s="123" t="s">
        <v>53</v>
      </c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0.90560633503222276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43000</v>
      </c>
      <c r="H8" s="68">
        <v>66</v>
      </c>
      <c r="I8" s="65">
        <f>H8*D8</f>
        <v>16500</v>
      </c>
      <c r="J8" s="68"/>
      <c r="K8" s="65">
        <f>D8*J8</f>
        <v>0</v>
      </c>
      <c r="L8" s="68"/>
      <c r="M8" s="65">
        <f>D8*L8</f>
        <v>0</v>
      </c>
      <c r="N8" s="68">
        <v>50</v>
      </c>
      <c r="O8" s="65">
        <f>D8*N8</f>
        <v>12500</v>
      </c>
      <c r="P8" s="68"/>
      <c r="Q8" s="65">
        <f>D8*P8</f>
        <v>0</v>
      </c>
      <c r="R8" s="68"/>
      <c r="S8" s="65">
        <f>D8*R8</f>
        <v>0</v>
      </c>
      <c r="T8" s="68">
        <v>56</v>
      </c>
      <c r="U8" s="65">
        <f>D8*T8</f>
        <v>14000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43000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43000</v>
      </c>
      <c r="H10" s="74"/>
      <c r="I10" s="75">
        <f>SUM(I6:I9)</f>
        <v>16500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12500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14000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43000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9.4393664967777235E-2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4482</v>
      </c>
      <c r="H13" s="88">
        <v>7</v>
      </c>
      <c r="I13" s="83">
        <f>H13*D13</f>
        <v>1743</v>
      </c>
      <c r="J13" s="89"/>
      <c r="K13" s="83">
        <f>D13*J13</f>
        <v>0</v>
      </c>
      <c r="L13" s="90"/>
      <c r="M13" s="83">
        <f>D13*L13</f>
        <v>0</v>
      </c>
      <c r="N13" s="91">
        <v>5</v>
      </c>
      <c r="O13" s="83">
        <f>D13*N13</f>
        <v>1245</v>
      </c>
      <c r="P13" s="90"/>
      <c r="Q13" s="83">
        <f>D13*P13</f>
        <v>0</v>
      </c>
      <c r="R13" s="90"/>
      <c r="S13" s="83">
        <f>D13*R13</f>
        <v>0</v>
      </c>
      <c r="T13" s="90">
        <v>6</v>
      </c>
      <c r="U13" s="83">
        <f>D13*T13</f>
        <v>1494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4482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4482</v>
      </c>
      <c r="H15" s="80"/>
      <c r="I15" s="93">
        <f>SUM(I11:I14)</f>
        <v>1743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1245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1494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4482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47482</v>
      </c>
      <c r="H16" s="96">
        <f t="shared" ref="H16:AD16" si="0">SUM(H15,H10)</f>
        <v>0</v>
      </c>
      <c r="I16" s="97">
        <f>SUM(I15,I10)</f>
        <v>18243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13745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15494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47482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'19'!G42:H42</f>
        <v>0</v>
      </c>
      <c r="H30" s="152"/>
      <c r="I30" s="151">
        <f>'19'!I42:J42</f>
        <v>7</v>
      </c>
      <c r="J30" s="152"/>
      <c r="K30" s="151">
        <f>'19'!K42:L42</f>
        <v>0</v>
      </c>
      <c r="L30" s="152"/>
      <c r="M30" s="151">
        <f>'19'!M42:N42</f>
        <v>0</v>
      </c>
      <c r="N30" s="152"/>
      <c r="O30" s="151">
        <f>'19'!O42:P42</f>
        <v>0</v>
      </c>
      <c r="P30" s="152"/>
      <c r="Q30" s="151">
        <f>'19'!Q42:R42</f>
        <v>0</v>
      </c>
      <c r="R30" s="152"/>
      <c r="S30" s="151">
        <f>'19'!S42:T42</f>
        <v>0</v>
      </c>
      <c r="T30" s="152"/>
      <c r="U30" s="151">
        <f>'19'!U42:V42</f>
        <v>0</v>
      </c>
      <c r="V30" s="152"/>
      <c r="W30" s="151">
        <f>'19'!W42:X42</f>
        <v>0</v>
      </c>
      <c r="X30" s="152"/>
      <c r="Y30" s="151">
        <f>'19'!Y42:Z42</f>
        <v>138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160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7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66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5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50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6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56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18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172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23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298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5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126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8" sqref="AA38:AE3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129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0.88928412627834597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42000</v>
      </c>
      <c r="H8" s="68">
        <v>48</v>
      </c>
      <c r="I8" s="65">
        <f>H8*D8</f>
        <v>12000</v>
      </c>
      <c r="J8" s="68"/>
      <c r="K8" s="65">
        <f>D8*J8</f>
        <v>0</v>
      </c>
      <c r="L8" s="68"/>
      <c r="M8" s="65">
        <f>D8*L8</f>
        <v>0</v>
      </c>
      <c r="N8" s="68">
        <v>48</v>
      </c>
      <c r="O8" s="65">
        <f>D8*N8</f>
        <v>12000</v>
      </c>
      <c r="P8" s="68"/>
      <c r="Q8" s="65">
        <f>D8*P8</f>
        <v>0</v>
      </c>
      <c r="R8" s="68"/>
      <c r="S8" s="65">
        <f>D8*R8</f>
        <v>0</v>
      </c>
      <c r="T8" s="68">
        <v>72</v>
      </c>
      <c r="U8" s="65">
        <f>D8*T8</f>
        <v>18000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42000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42000</v>
      </c>
      <c r="H10" s="74"/>
      <c r="I10" s="75">
        <f>SUM(I6:I9)</f>
        <v>12000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12000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18000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42000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0.11071587372165403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5229</v>
      </c>
      <c r="H13" s="88">
        <v>6</v>
      </c>
      <c r="I13" s="83">
        <f>H13*D13</f>
        <v>1494</v>
      </c>
      <c r="J13" s="89"/>
      <c r="K13" s="83">
        <f>D13*J13</f>
        <v>0</v>
      </c>
      <c r="L13" s="90"/>
      <c r="M13" s="83">
        <f>D13*L13</f>
        <v>0</v>
      </c>
      <c r="N13" s="91">
        <v>6</v>
      </c>
      <c r="O13" s="83">
        <f>D13*N13</f>
        <v>1494</v>
      </c>
      <c r="P13" s="90"/>
      <c r="Q13" s="83">
        <f>D13*P13</f>
        <v>0</v>
      </c>
      <c r="R13" s="90"/>
      <c r="S13" s="83">
        <f>D13*R13</f>
        <v>0</v>
      </c>
      <c r="T13" s="90">
        <v>9</v>
      </c>
      <c r="U13" s="83">
        <f>D13*T13</f>
        <v>2241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5229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5229</v>
      </c>
      <c r="H15" s="80"/>
      <c r="I15" s="93">
        <f>SUM(I11:I14)</f>
        <v>1494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1494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2241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5229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47229</v>
      </c>
      <c r="H16" s="96">
        <f t="shared" ref="H16:AD16" si="0">SUM(H15,H10)</f>
        <v>0</v>
      </c>
      <c r="I16" s="97">
        <f>SUM(I15,I10)</f>
        <v>13494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13494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20241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47229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'20'!G42:H42</f>
        <v>0</v>
      </c>
      <c r="H30" s="152"/>
      <c r="I30" s="151">
        <f>'20'!I42:J42</f>
        <v>5</v>
      </c>
      <c r="J30" s="152"/>
      <c r="K30" s="151">
        <f>'20'!K42:L42</f>
        <v>0</v>
      </c>
      <c r="L30" s="152"/>
      <c r="M30" s="151">
        <f>'20'!M42:N42</f>
        <v>0</v>
      </c>
      <c r="N30" s="152"/>
      <c r="O30" s="151">
        <f>'20'!O42:P42</f>
        <v>0</v>
      </c>
      <c r="P30" s="152"/>
      <c r="Q30" s="151">
        <f>'20'!Q42:R42</f>
        <v>0</v>
      </c>
      <c r="R30" s="152"/>
      <c r="S30" s="151">
        <f>'20'!S42:T42</f>
        <v>0</v>
      </c>
      <c r="T30" s="152"/>
      <c r="U30" s="151">
        <f>'20'!U42:V42</f>
        <v>0</v>
      </c>
      <c r="V30" s="152"/>
      <c r="W30" s="151">
        <f>'20'!W42:X42</f>
        <v>0</v>
      </c>
      <c r="X30" s="152"/>
      <c r="Y30" s="151">
        <f>'20'!Y42:Z42</f>
        <v>126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24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112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48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48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9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72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21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168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29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238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8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70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8" sqref="AA38:AE3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130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0.89109993439755086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40750</v>
      </c>
      <c r="H8" s="68">
        <v>40</v>
      </c>
      <c r="I8" s="65">
        <f>H8*D8</f>
        <v>10000</v>
      </c>
      <c r="J8" s="68"/>
      <c r="K8" s="65">
        <f>D8*J8</f>
        <v>0</v>
      </c>
      <c r="L8" s="68"/>
      <c r="M8" s="65">
        <f>D8*L8</f>
        <v>0</v>
      </c>
      <c r="N8" s="68">
        <v>56</v>
      </c>
      <c r="O8" s="65">
        <f>D8*N8</f>
        <v>14000</v>
      </c>
      <c r="P8" s="68"/>
      <c r="Q8" s="65">
        <f>D8*P8</f>
        <v>0</v>
      </c>
      <c r="R8" s="68"/>
      <c r="S8" s="65">
        <f>D8*R8</f>
        <v>0</v>
      </c>
      <c r="T8" s="68">
        <v>67</v>
      </c>
      <c r="U8" s="65">
        <f>D8*T8</f>
        <v>16750</v>
      </c>
      <c r="V8" s="68"/>
      <c r="W8" s="65">
        <f>D8*V8</f>
        <v>0</v>
      </c>
      <c r="X8" s="68"/>
      <c r="Y8" s="65">
        <f>D8*X8</f>
        <v>0</v>
      </c>
      <c r="Z8" s="69">
        <f>SUM(I8,O8,U8)</f>
        <v>40750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40750</v>
      </c>
      <c r="H10" s="74"/>
      <c r="I10" s="75">
        <f>SUM(I6:I9)</f>
        <v>10000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14000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16750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40750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0.10890006560244914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4980</v>
      </c>
      <c r="H13" s="88">
        <v>5</v>
      </c>
      <c r="I13" s="83">
        <f>H13*D13</f>
        <v>1245</v>
      </c>
      <c r="J13" s="89"/>
      <c r="K13" s="83">
        <f>D13*J13</f>
        <v>0</v>
      </c>
      <c r="L13" s="90"/>
      <c r="M13" s="83">
        <f>D13*L13</f>
        <v>0</v>
      </c>
      <c r="N13" s="91">
        <v>7</v>
      </c>
      <c r="O13" s="83">
        <f>D13*N13</f>
        <v>1743</v>
      </c>
      <c r="P13" s="90"/>
      <c r="Q13" s="83">
        <f>D13*P13</f>
        <v>0</v>
      </c>
      <c r="R13" s="90"/>
      <c r="S13" s="83">
        <f>D13*R13</f>
        <v>0</v>
      </c>
      <c r="T13" s="90">
        <v>8</v>
      </c>
      <c r="U13" s="83">
        <f>D13*T13</f>
        <v>1992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4980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4980</v>
      </c>
      <c r="H15" s="80"/>
      <c r="I15" s="93">
        <f>SUM(I11:I14)</f>
        <v>1245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1743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1992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4980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45730</v>
      </c>
      <c r="H16" s="96">
        <f t="shared" ref="H16:AD16" si="0">SUM(H15,H10)</f>
        <v>0</v>
      </c>
      <c r="I16" s="97">
        <f>SUM(I15,I10)</f>
        <v>11245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15743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18742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45730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'21'!G42:H42</f>
        <v>0</v>
      </c>
      <c r="H30" s="152"/>
      <c r="I30" s="151">
        <f>'21'!I42:J42</f>
        <v>8</v>
      </c>
      <c r="J30" s="152"/>
      <c r="K30" s="151">
        <f>'21'!K42:L42</f>
        <v>0</v>
      </c>
      <c r="L30" s="152"/>
      <c r="M30" s="151">
        <f>'21'!M42:N42</f>
        <v>0</v>
      </c>
      <c r="N30" s="152"/>
      <c r="O30" s="151">
        <f>'21'!O42:P42</f>
        <v>0</v>
      </c>
      <c r="P30" s="152"/>
      <c r="Q30" s="151">
        <f>'21'!Q42:R42</f>
        <v>0</v>
      </c>
      <c r="R30" s="152"/>
      <c r="S30" s="151">
        <f>'21'!S42:T42</f>
        <v>0</v>
      </c>
      <c r="T30" s="152"/>
      <c r="U30" s="151">
        <f>'21'!U42:V42</f>
        <v>0</v>
      </c>
      <c r="V30" s="152"/>
      <c r="W30" s="151">
        <f>'21'!W42:X42</f>
        <v>0</v>
      </c>
      <c r="X30" s="152"/>
      <c r="Y30" s="151">
        <f>'21'!Y42:Z42</f>
        <v>70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184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5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40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7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8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67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20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163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24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254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4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91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9" sqref="AA39:AE39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131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0.9003601440576231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49500</v>
      </c>
      <c r="H8" s="68">
        <v>63</v>
      </c>
      <c r="I8" s="65">
        <f>H8*D8</f>
        <v>15750</v>
      </c>
      <c r="J8" s="68"/>
      <c r="K8" s="65">
        <f>D8*J8</f>
        <v>0</v>
      </c>
      <c r="L8" s="68"/>
      <c r="M8" s="65">
        <f>D8*L8</f>
        <v>0</v>
      </c>
      <c r="N8" s="68">
        <v>63</v>
      </c>
      <c r="O8" s="65">
        <f>D8*N8</f>
        <v>15750</v>
      </c>
      <c r="P8" s="68"/>
      <c r="Q8" s="65">
        <f>D8*P8</f>
        <v>0</v>
      </c>
      <c r="R8" s="68"/>
      <c r="S8" s="65">
        <f>D8*R8</f>
        <v>0</v>
      </c>
      <c r="T8" s="68">
        <v>72</v>
      </c>
      <c r="U8" s="65">
        <f>D8*T8</f>
        <v>18000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49500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49500</v>
      </c>
      <c r="H10" s="74"/>
      <c r="I10" s="75">
        <f>SUM(I6:I9)</f>
        <v>15750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15750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18000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49500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9.9639855942376898E-2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5478</v>
      </c>
      <c r="H13" s="88">
        <v>7</v>
      </c>
      <c r="I13" s="83">
        <f>H13*D13</f>
        <v>1743</v>
      </c>
      <c r="J13" s="89"/>
      <c r="K13" s="83">
        <f>D13*J13</f>
        <v>0</v>
      </c>
      <c r="L13" s="90"/>
      <c r="M13" s="83">
        <f>D13*L13</f>
        <v>0</v>
      </c>
      <c r="N13" s="91">
        <v>7</v>
      </c>
      <c r="O13" s="83">
        <f>D13*N13</f>
        <v>1743</v>
      </c>
      <c r="P13" s="90"/>
      <c r="Q13" s="83">
        <f>D13*P13</f>
        <v>0</v>
      </c>
      <c r="R13" s="90"/>
      <c r="S13" s="83">
        <f>D13*R13</f>
        <v>0</v>
      </c>
      <c r="T13" s="90">
        <v>8</v>
      </c>
      <c r="U13" s="83">
        <f>D13*T13</f>
        <v>1992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5478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5478</v>
      </c>
      <c r="H15" s="80"/>
      <c r="I15" s="93">
        <f>SUM(I11:I14)</f>
        <v>1743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1743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1992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5478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54978</v>
      </c>
      <c r="H16" s="96">
        <f t="shared" ref="H16:AD16" si="0">SUM(H15,H10)</f>
        <v>0</v>
      </c>
      <c r="I16" s="97">
        <f>SUM(I15,I10)</f>
        <v>17493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17493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19992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54978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'22'!G42:H42</f>
        <v>0</v>
      </c>
      <c r="H30" s="152"/>
      <c r="I30" s="151">
        <f>'22'!I42:J42</f>
        <v>4</v>
      </c>
      <c r="J30" s="152"/>
      <c r="K30" s="151">
        <f>'22'!K42:L42</f>
        <v>0</v>
      </c>
      <c r="L30" s="152"/>
      <c r="M30" s="151">
        <f>'22'!M42:N42</f>
        <v>0</v>
      </c>
      <c r="N30" s="152"/>
      <c r="O30" s="151">
        <f>'22'!O42:P42</f>
        <v>0</v>
      </c>
      <c r="P30" s="152"/>
      <c r="Q30" s="151">
        <f>'22'!Q42:R42</f>
        <v>0</v>
      </c>
      <c r="R30" s="152"/>
      <c r="S30" s="151">
        <f>'22'!S42:T42</f>
        <v>0</v>
      </c>
      <c r="T30" s="152"/>
      <c r="U30" s="151">
        <f>'22'!U42:V42</f>
        <v>0</v>
      </c>
      <c r="V30" s="152"/>
      <c r="W30" s="151">
        <f>'22'!W42:X42</f>
        <v>0</v>
      </c>
      <c r="X30" s="152"/>
      <c r="Y30" s="151">
        <f>'22'!Y42:Z42</f>
        <v>91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32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192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7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63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7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63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8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72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22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198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36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283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14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85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8" sqref="AA38:AE3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132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0.88928412627834597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44000</v>
      </c>
      <c r="H8" s="68">
        <v>56</v>
      </c>
      <c r="I8" s="65">
        <f>H8*D8</f>
        <v>14000</v>
      </c>
      <c r="J8" s="68"/>
      <c r="K8" s="65">
        <f>D8*J8</f>
        <v>0</v>
      </c>
      <c r="L8" s="68"/>
      <c r="M8" s="65">
        <f>D8*L8</f>
        <v>0</v>
      </c>
      <c r="N8" s="68">
        <v>56</v>
      </c>
      <c r="O8" s="65">
        <f>D8*N8</f>
        <v>14000</v>
      </c>
      <c r="P8" s="68"/>
      <c r="Q8" s="65">
        <f>D8*P8</f>
        <v>0</v>
      </c>
      <c r="R8" s="68"/>
      <c r="S8" s="65">
        <f>D8*R8</f>
        <v>0</v>
      </c>
      <c r="T8" s="68">
        <v>64</v>
      </c>
      <c r="U8" s="65">
        <f>D8*T8</f>
        <v>16000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44000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44000</v>
      </c>
      <c r="H10" s="74"/>
      <c r="I10" s="75">
        <f>SUM(I6:I9)</f>
        <v>14000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14000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16000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44000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0.11071587372165403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5478</v>
      </c>
      <c r="H13" s="88">
        <v>7</v>
      </c>
      <c r="I13" s="83">
        <f>H13*D13</f>
        <v>1743</v>
      </c>
      <c r="J13" s="89"/>
      <c r="K13" s="83">
        <f>D13*J13</f>
        <v>0</v>
      </c>
      <c r="L13" s="90"/>
      <c r="M13" s="83">
        <f>D13*L13</f>
        <v>0</v>
      </c>
      <c r="N13" s="91">
        <v>7</v>
      </c>
      <c r="O13" s="83">
        <f>D13*N13</f>
        <v>1743</v>
      </c>
      <c r="P13" s="90"/>
      <c r="Q13" s="83">
        <f>D13*P13</f>
        <v>0</v>
      </c>
      <c r="R13" s="90"/>
      <c r="S13" s="83">
        <f>D13*R13</f>
        <v>0</v>
      </c>
      <c r="T13" s="90">
        <v>8</v>
      </c>
      <c r="U13" s="83">
        <f>D13*T13</f>
        <v>1992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5478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5478</v>
      </c>
      <c r="H15" s="80"/>
      <c r="I15" s="93">
        <f>SUM(I11:I14)</f>
        <v>1743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1743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1992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5478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49478</v>
      </c>
      <c r="H16" s="96">
        <f t="shared" ref="H16:AD16" si="0">SUM(H15,H10)</f>
        <v>0</v>
      </c>
      <c r="I16" s="97">
        <f>SUM(I15,I10)</f>
        <v>15743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15743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17992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49478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'23'!G42:H42</f>
        <v>0</v>
      </c>
      <c r="H30" s="152"/>
      <c r="I30" s="151">
        <f>'23'!I42:J42</f>
        <v>14</v>
      </c>
      <c r="J30" s="152"/>
      <c r="K30" s="151">
        <f>'23'!K42:L42</f>
        <v>0</v>
      </c>
      <c r="L30" s="152"/>
      <c r="M30" s="151">
        <f>'23'!M42:N42</f>
        <v>0</v>
      </c>
      <c r="N30" s="152"/>
      <c r="O30" s="151">
        <f>'23'!O42:P42</f>
        <v>0</v>
      </c>
      <c r="P30" s="152"/>
      <c r="Q30" s="151">
        <f>'23'!Q42:R42</f>
        <v>0</v>
      </c>
      <c r="R30" s="152"/>
      <c r="S30" s="151">
        <f>'23'!S42:T42</f>
        <v>0</v>
      </c>
      <c r="T30" s="152"/>
      <c r="U30" s="151">
        <f>'23'!U42:V42</f>
        <v>0</v>
      </c>
      <c r="V30" s="152"/>
      <c r="W30" s="151">
        <f>'23'!W42:X42</f>
        <v>0</v>
      </c>
      <c r="X30" s="152"/>
      <c r="Y30" s="151">
        <f>'23'!Y42:Z42</f>
        <v>85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208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7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56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7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8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64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22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176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30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293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8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117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AA38" sqref="AA38:AE38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133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0.88928412627834597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46000</v>
      </c>
      <c r="H8" s="68">
        <v>56</v>
      </c>
      <c r="I8" s="65">
        <f>H8*D8</f>
        <v>14000</v>
      </c>
      <c r="J8" s="68"/>
      <c r="K8" s="65">
        <f>D8*J8</f>
        <v>0</v>
      </c>
      <c r="L8" s="68"/>
      <c r="M8" s="65">
        <f>D8*L8</f>
        <v>0</v>
      </c>
      <c r="N8" s="68">
        <v>64</v>
      </c>
      <c r="O8" s="65">
        <f>D8*N8</f>
        <v>16000</v>
      </c>
      <c r="P8" s="68"/>
      <c r="Q8" s="65">
        <f>D8*P8</f>
        <v>0</v>
      </c>
      <c r="R8" s="68"/>
      <c r="S8" s="65">
        <f>D8*R8</f>
        <v>0</v>
      </c>
      <c r="T8" s="68">
        <v>64</v>
      </c>
      <c r="U8" s="65">
        <f>D8*T8</f>
        <v>16000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46000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46000</v>
      </c>
      <c r="H10" s="74"/>
      <c r="I10" s="75">
        <f>SUM(I6:I9)</f>
        <v>14000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16000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16000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46000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0.11071587372165403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5727</v>
      </c>
      <c r="H13" s="88">
        <v>7</v>
      </c>
      <c r="I13" s="83">
        <f>H13*D13</f>
        <v>1743</v>
      </c>
      <c r="J13" s="89"/>
      <c r="K13" s="83">
        <f>D13*J13</f>
        <v>0</v>
      </c>
      <c r="L13" s="90"/>
      <c r="M13" s="83">
        <f>D13*L13</f>
        <v>0</v>
      </c>
      <c r="N13" s="91">
        <v>8</v>
      </c>
      <c r="O13" s="83">
        <f>D13*N13</f>
        <v>1992</v>
      </c>
      <c r="P13" s="90"/>
      <c r="Q13" s="83">
        <f>D13*P13</f>
        <v>0</v>
      </c>
      <c r="R13" s="90"/>
      <c r="S13" s="83">
        <f>D13*R13</f>
        <v>0</v>
      </c>
      <c r="T13" s="90">
        <v>8</v>
      </c>
      <c r="U13" s="83">
        <f>D13*T13</f>
        <v>1992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5727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5727</v>
      </c>
      <c r="H15" s="80"/>
      <c r="I15" s="93">
        <f>SUM(I11:I14)</f>
        <v>1743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1992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1992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5727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51727</v>
      </c>
      <c r="H16" s="96">
        <f t="shared" ref="H16:AD16" si="0">SUM(H15,H10)</f>
        <v>0</v>
      </c>
      <c r="I16" s="97">
        <f>SUM(I15,I10)</f>
        <v>15743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17992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17992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51727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'24'!G42:H42</f>
        <v>0</v>
      </c>
      <c r="H30" s="152"/>
      <c r="I30" s="151">
        <f>'24'!I42:J42</f>
        <v>8</v>
      </c>
      <c r="J30" s="152"/>
      <c r="K30" s="151">
        <f>'24'!K42:L42</f>
        <v>0</v>
      </c>
      <c r="L30" s="152"/>
      <c r="M30" s="151">
        <f>'24'!M42:N42</f>
        <v>0</v>
      </c>
      <c r="N30" s="152"/>
      <c r="O30" s="151">
        <f>'24'!O42:P42</f>
        <v>0</v>
      </c>
      <c r="P30" s="152"/>
      <c r="Q30" s="151">
        <f>'24'!Q42:R42</f>
        <v>0</v>
      </c>
      <c r="R30" s="152"/>
      <c r="S30" s="151">
        <f>'24'!S42:T42</f>
        <v>0</v>
      </c>
      <c r="T30" s="152"/>
      <c r="U30" s="151">
        <f>'24'!U42:V42</f>
        <v>0</v>
      </c>
      <c r="V30" s="152"/>
      <c r="W30" s="151">
        <f>'24'!W42:X42</f>
        <v>0</v>
      </c>
      <c r="X30" s="152"/>
      <c r="Y30" s="151">
        <f>'24'!Y42:Z42</f>
        <v>117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32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176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7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56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8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64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8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64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23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184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40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293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17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109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W13" sqref="W1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7.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134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 t="s">
        <v>103</v>
      </c>
      <c r="K4" s="123"/>
      <c r="L4" s="123"/>
      <c r="M4" s="124"/>
      <c r="N4" s="122" t="s">
        <v>53</v>
      </c>
      <c r="O4" s="123"/>
      <c r="P4" s="123" t="s">
        <v>103</v>
      </c>
      <c r="Q4" s="123"/>
      <c r="R4" s="123"/>
      <c r="S4" s="124"/>
      <c r="T4" s="122" t="s">
        <v>53</v>
      </c>
      <c r="U4" s="123"/>
      <c r="V4" s="123" t="s">
        <v>103</v>
      </c>
      <c r="W4" s="123"/>
      <c r="X4" s="123"/>
      <c r="Y4" s="124"/>
      <c r="Z4" s="122" t="s">
        <v>53</v>
      </c>
      <c r="AA4" s="123"/>
      <c r="AB4" s="123" t="s">
        <v>103</v>
      </c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0.92064728586098221</v>
      </c>
      <c r="AB6" s="67">
        <f>SUM(K6,Q6,W6)</f>
        <v>0</v>
      </c>
      <c r="AC6" s="125">
        <f>IFERROR(AB10/AB16,"")</f>
        <v>0.68379408029696198</v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47000</v>
      </c>
      <c r="H8" s="68">
        <v>68</v>
      </c>
      <c r="I8" s="65">
        <f>H8*D8</f>
        <v>17000</v>
      </c>
      <c r="J8" s="68"/>
      <c r="K8" s="65">
        <f>D8*J8</f>
        <v>0</v>
      </c>
      <c r="L8" s="68"/>
      <c r="M8" s="65">
        <f>D8*L8</f>
        <v>0</v>
      </c>
      <c r="N8" s="68">
        <v>36</v>
      </c>
      <c r="O8" s="65">
        <f>D8*N8</f>
        <v>9000</v>
      </c>
      <c r="P8" s="68">
        <v>28</v>
      </c>
      <c r="Q8" s="65">
        <f>D8*P8</f>
        <v>7000</v>
      </c>
      <c r="R8" s="68"/>
      <c r="S8" s="65">
        <f>D8*R8</f>
        <v>0</v>
      </c>
      <c r="T8" s="68"/>
      <c r="U8" s="65">
        <f>D8*T8</f>
        <v>0</v>
      </c>
      <c r="V8" s="68">
        <v>56</v>
      </c>
      <c r="W8" s="65">
        <f>D8*V8</f>
        <v>14000</v>
      </c>
      <c r="X8" s="68"/>
      <c r="Y8" s="65">
        <f>D8*X8</f>
        <v>0</v>
      </c>
      <c r="Z8" s="69">
        <f>SUM(I8,O8,U8)</f>
        <v>26000</v>
      </c>
      <c r="AA8" s="126"/>
      <c r="AB8" s="70">
        <f>SUM(K8,Q8,W8)</f>
        <v>21000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47000</v>
      </c>
      <c r="H10" s="74"/>
      <c r="I10" s="75">
        <f>SUM(I6:I9)</f>
        <v>17000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9000</v>
      </c>
      <c r="P10" s="78"/>
      <c r="Q10" s="77">
        <f>SUM(Q6:Q9)</f>
        <v>7000</v>
      </c>
      <c r="R10" s="78"/>
      <c r="S10" s="77">
        <f>SUM(S6:S9)</f>
        <v>0</v>
      </c>
      <c r="T10" s="74"/>
      <c r="U10" s="77">
        <f>SUM(U6:U9)</f>
        <v>0</v>
      </c>
      <c r="V10" s="78"/>
      <c r="W10" s="77">
        <f>SUM(W6:W9)</f>
        <v>14000</v>
      </c>
      <c r="X10" s="78"/>
      <c r="Y10" s="79">
        <f>SUM(Y6:Y9)</f>
        <v>0</v>
      </c>
      <c r="Z10" s="80">
        <f>SUM(Z6:Z9)</f>
        <v>26000</v>
      </c>
      <c r="AA10" s="127"/>
      <c r="AB10" s="80">
        <f>SUM(AB6:AB9)</f>
        <v>21000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7.9352714139017788E-2</v>
      </c>
      <c r="AB11" s="67">
        <f>SUM(K11,Q11,W11)</f>
        <v>0</v>
      </c>
      <c r="AC11" s="125">
        <f>IFERROR(1-AC6,"")</f>
        <v>0.31620591970303802</v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11952</v>
      </c>
      <c r="H13" s="88">
        <v>6</v>
      </c>
      <c r="I13" s="83">
        <f>H13*D13</f>
        <v>1494</v>
      </c>
      <c r="J13" s="89"/>
      <c r="K13" s="83">
        <f>D13*J13</f>
        <v>0</v>
      </c>
      <c r="L13" s="90"/>
      <c r="M13" s="83">
        <f>D13*L13</f>
        <v>0</v>
      </c>
      <c r="N13" s="91">
        <v>3</v>
      </c>
      <c r="O13" s="83">
        <f>D13*N13</f>
        <v>747</v>
      </c>
      <c r="P13" s="90">
        <v>15</v>
      </c>
      <c r="Q13" s="83">
        <f>D13*P13</f>
        <v>3735</v>
      </c>
      <c r="R13" s="90"/>
      <c r="S13" s="83">
        <f>D13*R13</f>
        <v>0</v>
      </c>
      <c r="T13" s="90"/>
      <c r="U13" s="83">
        <f>D13*T13</f>
        <v>0</v>
      </c>
      <c r="V13" s="90">
        <v>24</v>
      </c>
      <c r="W13" s="83">
        <f>D13*V13</f>
        <v>5976</v>
      </c>
      <c r="X13" s="90"/>
      <c r="Y13" s="87">
        <f>D13*X13</f>
        <v>0</v>
      </c>
      <c r="Z13" s="69">
        <f>SUM(I13,O13,U13)</f>
        <v>2241</v>
      </c>
      <c r="AA13" s="126"/>
      <c r="AB13" s="70">
        <f>SUM(K13,Q13,W13)</f>
        <v>9711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11952</v>
      </c>
      <c r="H15" s="80"/>
      <c r="I15" s="93">
        <f>SUM(I11:I14)</f>
        <v>1494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747</v>
      </c>
      <c r="P15" s="81"/>
      <c r="Q15" s="93">
        <f>SUM(Q11:Q14)</f>
        <v>3735</v>
      </c>
      <c r="R15" s="81"/>
      <c r="S15" s="93">
        <f>SUM(S11:S14)</f>
        <v>0</v>
      </c>
      <c r="T15" s="80"/>
      <c r="U15" s="93">
        <f>SUM(U11:U14)</f>
        <v>0</v>
      </c>
      <c r="V15" s="81"/>
      <c r="W15" s="93">
        <f>SUM(W11:W14)</f>
        <v>5976</v>
      </c>
      <c r="X15" s="81"/>
      <c r="Y15" s="93">
        <f>SUM(Y11:Y14)</f>
        <v>0</v>
      </c>
      <c r="Z15" s="80">
        <f>SUM(Z11:Z14)</f>
        <v>2241</v>
      </c>
      <c r="AA15" s="128"/>
      <c r="AB15" s="81">
        <f>SUM(AB11:AB14)</f>
        <v>9711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58952</v>
      </c>
      <c r="H16" s="96">
        <f t="shared" ref="H16:AD16" si="0">SUM(H15,H10)</f>
        <v>0</v>
      </c>
      <c r="I16" s="97">
        <f>SUM(I15,I10)</f>
        <v>18494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9747</v>
      </c>
      <c r="P16" s="97">
        <f t="shared" si="0"/>
        <v>0</v>
      </c>
      <c r="Q16" s="97">
        <f t="shared" si="0"/>
        <v>10735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0</v>
      </c>
      <c r="V16" s="97">
        <f t="shared" si="0"/>
        <v>0</v>
      </c>
      <c r="W16" s="97">
        <f t="shared" si="0"/>
        <v>19976</v>
      </c>
      <c r="X16" s="97">
        <f t="shared" si="0"/>
        <v>0</v>
      </c>
      <c r="Y16" s="98">
        <f t="shared" si="0"/>
        <v>0</v>
      </c>
      <c r="Z16" s="99">
        <f t="shared" si="0"/>
        <v>28241</v>
      </c>
      <c r="AA16" s="97"/>
      <c r="AB16" s="97">
        <f t="shared" si="0"/>
        <v>30711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'25'!G42:H42</f>
        <v>0</v>
      </c>
      <c r="H30" s="152"/>
      <c r="I30" s="151">
        <f>'25'!I42:J42</f>
        <v>17</v>
      </c>
      <c r="J30" s="152"/>
      <c r="K30" s="151">
        <f>'25'!K42:L42</f>
        <v>0</v>
      </c>
      <c r="L30" s="152"/>
      <c r="M30" s="151">
        <f>'25'!M42:N42</f>
        <v>0</v>
      </c>
      <c r="N30" s="152"/>
      <c r="O30" s="151">
        <f>'25'!O42:P42</f>
        <v>0</v>
      </c>
      <c r="P30" s="152"/>
      <c r="Q30" s="151">
        <f>'25'!Q42:R42</f>
        <v>0</v>
      </c>
      <c r="R30" s="152"/>
      <c r="S30" s="151">
        <f>'25'!S42:T42</f>
        <v>0</v>
      </c>
      <c r="T30" s="152"/>
      <c r="U30" s="151">
        <f>'25'!U42:V42</f>
        <v>0</v>
      </c>
      <c r="V30" s="152"/>
      <c r="W30" s="151">
        <f>'25'!W42:X42</f>
        <v>0</v>
      </c>
      <c r="X30" s="152"/>
      <c r="Y30" s="151">
        <f>'25'!Y42:Z42</f>
        <v>109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48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176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68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18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64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24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56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>
        <v>17</v>
      </c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>
        <v>97</v>
      </c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48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188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65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285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17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97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U13" sqref="U1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135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103</v>
      </c>
      <c r="I4" s="123"/>
      <c r="J4" s="123"/>
      <c r="K4" s="123"/>
      <c r="L4" s="123"/>
      <c r="M4" s="124"/>
      <c r="N4" s="122" t="s">
        <v>103</v>
      </c>
      <c r="O4" s="123"/>
      <c r="P4" s="123"/>
      <c r="Q4" s="123"/>
      <c r="R4" s="123"/>
      <c r="S4" s="124"/>
      <c r="T4" s="122" t="s">
        <v>103</v>
      </c>
      <c r="U4" s="123"/>
      <c r="V4" s="123"/>
      <c r="W4" s="123"/>
      <c r="X4" s="123"/>
      <c r="Y4" s="124"/>
      <c r="Z4" s="122" t="s">
        <v>103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0.66904950068252034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37250</v>
      </c>
      <c r="H8" s="68">
        <v>49</v>
      </c>
      <c r="I8" s="65">
        <f>H8*D8</f>
        <v>12250</v>
      </c>
      <c r="J8" s="68"/>
      <c r="K8" s="65">
        <f>D8*J8</f>
        <v>0</v>
      </c>
      <c r="L8" s="68"/>
      <c r="M8" s="65">
        <f>D8*L8</f>
        <v>0</v>
      </c>
      <c r="N8" s="68">
        <v>56</v>
      </c>
      <c r="O8" s="65">
        <f>D8*N8</f>
        <v>14000</v>
      </c>
      <c r="P8" s="68"/>
      <c r="Q8" s="65">
        <f>D8*P8</f>
        <v>0</v>
      </c>
      <c r="R8" s="68"/>
      <c r="S8" s="65">
        <f>D8*R8</f>
        <v>0</v>
      </c>
      <c r="T8" s="68">
        <v>44</v>
      </c>
      <c r="U8" s="65">
        <f>D8*T8</f>
        <v>11000</v>
      </c>
      <c r="V8" s="68"/>
      <c r="W8" s="65">
        <f>D8*V8</f>
        <v>0</v>
      </c>
      <c r="X8" s="68"/>
      <c r="Y8" s="65">
        <f>D8*X8</f>
        <v>0</v>
      </c>
      <c r="Z8" s="69">
        <f>SUM(I8,O8,U8)</f>
        <v>37250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37250</v>
      </c>
      <c r="H10" s="74"/>
      <c r="I10" s="75">
        <f>SUM(I6:I9)</f>
        <v>12250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14000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11000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37250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0.33095049931747966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18426</v>
      </c>
      <c r="H13" s="88">
        <v>21</v>
      </c>
      <c r="I13" s="83">
        <f>H13*D13</f>
        <v>5229</v>
      </c>
      <c r="J13" s="89"/>
      <c r="K13" s="83">
        <f>D13*J13</f>
        <v>0</v>
      </c>
      <c r="L13" s="90"/>
      <c r="M13" s="83">
        <f>D13*L13</f>
        <v>0</v>
      </c>
      <c r="N13" s="91">
        <v>24</v>
      </c>
      <c r="O13" s="83">
        <f>D13*N13</f>
        <v>5976</v>
      </c>
      <c r="P13" s="90"/>
      <c r="Q13" s="83">
        <f>D13*P13</f>
        <v>0</v>
      </c>
      <c r="R13" s="90"/>
      <c r="S13" s="83">
        <f>D13*R13</f>
        <v>0</v>
      </c>
      <c r="T13" s="90">
        <v>29</v>
      </c>
      <c r="U13" s="83">
        <f>D13*T13</f>
        <v>7221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18426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18426</v>
      </c>
      <c r="H15" s="80"/>
      <c r="I15" s="93">
        <f>SUM(I11:I14)</f>
        <v>5229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5976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7221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18426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55676</v>
      </c>
      <c r="H16" s="96">
        <f t="shared" ref="H16:AD16" si="0">SUM(H15,H10)</f>
        <v>0</v>
      </c>
      <c r="I16" s="97">
        <f>SUM(I15,I10)</f>
        <v>17479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19976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18221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55676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'26'!G42:H42</f>
        <v>0</v>
      </c>
      <c r="H30" s="152"/>
      <c r="I30" s="151">
        <f>'26'!I42:J42</f>
        <v>17</v>
      </c>
      <c r="J30" s="152"/>
      <c r="K30" s="151">
        <f>'26'!K42:L42</f>
        <v>0</v>
      </c>
      <c r="L30" s="152"/>
      <c r="M30" s="151">
        <f>'26'!M42:N42</f>
        <v>0</v>
      </c>
      <c r="N30" s="152"/>
      <c r="O30" s="151">
        <f>'26'!O42:P42</f>
        <v>0</v>
      </c>
      <c r="P30" s="152"/>
      <c r="Q30" s="151">
        <f>'26'!Q42:R42</f>
        <v>0</v>
      </c>
      <c r="R30" s="152"/>
      <c r="S30" s="151">
        <f>'26'!S42:T42</f>
        <v>0</v>
      </c>
      <c r="T30" s="152"/>
      <c r="U30" s="151">
        <f>'26'!U42:V42</f>
        <v>0</v>
      </c>
      <c r="V30" s="152"/>
      <c r="W30" s="151">
        <f>'26'!W42:X42</f>
        <v>0</v>
      </c>
      <c r="X30" s="152"/>
      <c r="Y30" s="151">
        <f>'26'!Y42:Z42</f>
        <v>97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80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144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21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49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24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29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44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>
        <v>23</v>
      </c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>
        <v>92</v>
      </c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74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149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97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241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23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92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U13" sqref="U1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136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103</v>
      </c>
      <c r="I4" s="123"/>
      <c r="J4" s="123"/>
      <c r="K4" s="123"/>
      <c r="L4" s="123"/>
      <c r="M4" s="124"/>
      <c r="N4" s="122" t="s">
        <v>103</v>
      </c>
      <c r="O4" s="123"/>
      <c r="P4" s="123"/>
      <c r="Q4" s="123"/>
      <c r="R4" s="123"/>
      <c r="S4" s="124"/>
      <c r="T4" s="122" t="s">
        <v>103</v>
      </c>
      <c r="U4" s="123"/>
      <c r="V4" s="123"/>
      <c r="W4" s="123"/>
      <c r="X4" s="123"/>
      <c r="Y4" s="124"/>
      <c r="Z4" s="122" t="s">
        <v>103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0.63592845554509581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31750</v>
      </c>
      <c r="H8" s="68">
        <v>36</v>
      </c>
      <c r="I8" s="65">
        <f>H8*D8</f>
        <v>9000</v>
      </c>
      <c r="J8" s="68"/>
      <c r="K8" s="65">
        <f>D8*J8</f>
        <v>0</v>
      </c>
      <c r="L8" s="68"/>
      <c r="M8" s="65">
        <f>D8*L8</f>
        <v>0</v>
      </c>
      <c r="N8" s="68">
        <v>44</v>
      </c>
      <c r="O8" s="65">
        <f>D8*N8</f>
        <v>11000</v>
      </c>
      <c r="P8" s="68"/>
      <c r="Q8" s="65">
        <f>D8*P8</f>
        <v>0</v>
      </c>
      <c r="R8" s="68"/>
      <c r="S8" s="65">
        <f>D8*R8</f>
        <v>0</v>
      </c>
      <c r="T8" s="68">
        <v>47</v>
      </c>
      <c r="U8" s="65">
        <f>D8*T8</f>
        <v>11750</v>
      </c>
      <c r="V8" s="68"/>
      <c r="W8" s="65">
        <f>D8*V8</f>
        <v>0</v>
      </c>
      <c r="X8" s="68"/>
      <c r="Y8" s="65">
        <f>D8*X8</f>
        <v>0</v>
      </c>
      <c r="Z8" s="69">
        <f>SUM(I8,O8,U8)</f>
        <v>31750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31750</v>
      </c>
      <c r="H10" s="74"/>
      <c r="I10" s="75">
        <f>SUM(I6:I9)</f>
        <v>9000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11000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11750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31750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0.36407154445490419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18177</v>
      </c>
      <c r="H13" s="88">
        <v>24</v>
      </c>
      <c r="I13" s="83">
        <f>H13*D13</f>
        <v>5976</v>
      </c>
      <c r="J13" s="89"/>
      <c r="K13" s="83">
        <f>D13*J13</f>
        <v>0</v>
      </c>
      <c r="L13" s="90"/>
      <c r="M13" s="83">
        <f>D13*L13</f>
        <v>0</v>
      </c>
      <c r="N13" s="91">
        <v>26</v>
      </c>
      <c r="O13" s="83">
        <f>D13*N13</f>
        <v>6474</v>
      </c>
      <c r="P13" s="90"/>
      <c r="Q13" s="83">
        <f>D13*P13</f>
        <v>0</v>
      </c>
      <c r="R13" s="90"/>
      <c r="S13" s="83">
        <f>D13*R13</f>
        <v>0</v>
      </c>
      <c r="T13" s="90">
        <v>23</v>
      </c>
      <c r="U13" s="83">
        <f>D13*T13</f>
        <v>5727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18177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18177</v>
      </c>
      <c r="H15" s="80"/>
      <c r="I15" s="93">
        <f>SUM(I11:I14)</f>
        <v>5976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6474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5727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18177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49927</v>
      </c>
      <c r="H16" s="96">
        <f t="shared" ref="H16:AD16" si="0">SUM(H15,H10)</f>
        <v>0</v>
      </c>
      <c r="I16" s="97">
        <f>SUM(I15,I10)</f>
        <v>14976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17474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17477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49927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'27'!G42:H42</f>
        <v>0</v>
      </c>
      <c r="H30" s="152"/>
      <c r="I30" s="151">
        <f>'27'!I42:J42</f>
        <v>23</v>
      </c>
      <c r="J30" s="152"/>
      <c r="K30" s="151">
        <f>'27'!K42:L42</f>
        <v>0</v>
      </c>
      <c r="L30" s="152"/>
      <c r="M30" s="151">
        <f>'27'!M42:N42</f>
        <v>0</v>
      </c>
      <c r="N30" s="152"/>
      <c r="O30" s="151">
        <f>'27'!O42:P42</f>
        <v>0</v>
      </c>
      <c r="P30" s="152"/>
      <c r="Q30" s="151">
        <f>'27'!Q42:R42</f>
        <v>0</v>
      </c>
      <c r="R30" s="152"/>
      <c r="S30" s="151">
        <f>'27'!S42:T42</f>
        <v>0</v>
      </c>
      <c r="T30" s="152"/>
      <c r="U30" s="151">
        <f>'27'!U42:V42</f>
        <v>0</v>
      </c>
      <c r="V30" s="152"/>
      <c r="W30" s="151">
        <f>'27'!W42:X42</f>
        <v>0</v>
      </c>
      <c r="X30" s="152"/>
      <c r="Y30" s="151">
        <f>'27'!Y42:Z42</f>
        <v>92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64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128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24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36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26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44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23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47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>
        <v>14</v>
      </c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>
        <v>93</v>
      </c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73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127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87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220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14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93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W13" sqref="W1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8.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8.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137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103</v>
      </c>
      <c r="I4" s="123"/>
      <c r="J4" s="123" t="s">
        <v>53</v>
      </c>
      <c r="K4" s="123"/>
      <c r="L4" s="123"/>
      <c r="M4" s="124"/>
      <c r="N4" s="122" t="s">
        <v>103</v>
      </c>
      <c r="O4" s="123"/>
      <c r="P4" s="123" t="s">
        <v>53</v>
      </c>
      <c r="Q4" s="123"/>
      <c r="R4" s="123"/>
      <c r="S4" s="124"/>
      <c r="T4" s="122" t="s">
        <v>103</v>
      </c>
      <c r="U4" s="123"/>
      <c r="V4" s="123" t="s">
        <v>53</v>
      </c>
      <c r="W4" s="123"/>
      <c r="X4" s="123"/>
      <c r="Y4" s="124"/>
      <c r="Z4" s="122" t="s">
        <v>103</v>
      </c>
      <c r="AA4" s="123"/>
      <c r="AB4" s="123" t="s">
        <v>53</v>
      </c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0.60096153846153844</v>
      </c>
      <c r="AB6" s="67">
        <f>SUM(K6,Q6,W6)</f>
        <v>0</v>
      </c>
      <c r="AC6" s="125">
        <f>IFERROR(AB10/AB16,"")</f>
        <v>0.88928412627834597</v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35250</v>
      </c>
      <c r="H8" s="68">
        <v>21</v>
      </c>
      <c r="I8" s="65">
        <f>H8*D8</f>
        <v>5250</v>
      </c>
      <c r="J8" s="68">
        <v>16</v>
      </c>
      <c r="K8" s="65">
        <f>D8*J8</f>
        <v>4000</v>
      </c>
      <c r="L8" s="68"/>
      <c r="M8" s="65">
        <f>D8*L8</f>
        <v>0</v>
      </c>
      <c r="N8" s="68"/>
      <c r="O8" s="65">
        <f>D8*N8</f>
        <v>0</v>
      </c>
      <c r="P8" s="68">
        <v>56</v>
      </c>
      <c r="Q8" s="65">
        <f>D8*P8</f>
        <v>14000</v>
      </c>
      <c r="R8" s="68"/>
      <c r="S8" s="65">
        <f>D8*R8</f>
        <v>0</v>
      </c>
      <c r="T8" s="68"/>
      <c r="U8" s="65">
        <f>D8*T8</f>
        <v>0</v>
      </c>
      <c r="V8" s="68">
        <v>48</v>
      </c>
      <c r="W8" s="65">
        <f>D8*V8</f>
        <v>12000</v>
      </c>
      <c r="X8" s="68"/>
      <c r="Y8" s="65">
        <f>D8*X8</f>
        <v>0</v>
      </c>
      <c r="Z8" s="69">
        <f>SUM(I8,O8,U8)</f>
        <v>5250</v>
      </c>
      <c r="AA8" s="126"/>
      <c r="AB8" s="70">
        <f>SUM(K8,Q8,W8)</f>
        <v>30000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35250</v>
      </c>
      <c r="H10" s="74"/>
      <c r="I10" s="75">
        <f>SUM(I6:I9)</f>
        <v>5250</v>
      </c>
      <c r="J10" s="76"/>
      <c r="K10" s="77">
        <f>SUM(K6:K9)</f>
        <v>4000</v>
      </c>
      <c r="L10" s="78"/>
      <c r="M10" s="77">
        <f>SUM(M6:M9)</f>
        <v>0</v>
      </c>
      <c r="N10" s="74"/>
      <c r="O10" s="77">
        <f>SUM(O6:O9)</f>
        <v>0</v>
      </c>
      <c r="P10" s="78"/>
      <c r="Q10" s="77">
        <f>SUM(Q6:Q9)</f>
        <v>14000</v>
      </c>
      <c r="R10" s="78"/>
      <c r="S10" s="77">
        <f>SUM(S6:S9)</f>
        <v>0</v>
      </c>
      <c r="T10" s="74"/>
      <c r="U10" s="77">
        <f>SUM(U6:U9)</f>
        <v>0</v>
      </c>
      <c r="V10" s="78"/>
      <c r="W10" s="77">
        <f>SUM(W6:W9)</f>
        <v>12000</v>
      </c>
      <c r="X10" s="78"/>
      <c r="Y10" s="79">
        <f>SUM(Y6:Y9)</f>
        <v>0</v>
      </c>
      <c r="Z10" s="80">
        <f>SUM(Z6:Z9)</f>
        <v>5250</v>
      </c>
      <c r="AA10" s="127"/>
      <c r="AB10" s="80">
        <f>SUM(AB6:AB9)</f>
        <v>30000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0.39903846153846156</v>
      </c>
      <c r="AB11" s="67">
        <f>SUM(K11,Q11,W11)</f>
        <v>0</v>
      </c>
      <c r="AC11" s="125">
        <f>IFERROR(1-AC6,"")</f>
        <v>0.11071587372165403</v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7221</v>
      </c>
      <c r="H13" s="88">
        <v>14</v>
      </c>
      <c r="I13" s="83">
        <f>H13*D13</f>
        <v>3486</v>
      </c>
      <c r="J13" s="89">
        <v>2</v>
      </c>
      <c r="K13" s="83">
        <f>D13*J13</f>
        <v>498</v>
      </c>
      <c r="L13" s="90"/>
      <c r="M13" s="83">
        <f>D13*L13</f>
        <v>0</v>
      </c>
      <c r="N13" s="91"/>
      <c r="O13" s="83">
        <f>D13*N13</f>
        <v>0</v>
      </c>
      <c r="P13" s="90">
        <v>7</v>
      </c>
      <c r="Q13" s="83">
        <f>D13*P13</f>
        <v>1743</v>
      </c>
      <c r="R13" s="90"/>
      <c r="S13" s="83">
        <f>D13*R13</f>
        <v>0</v>
      </c>
      <c r="T13" s="90"/>
      <c r="U13" s="83">
        <f>D13*T13</f>
        <v>0</v>
      </c>
      <c r="V13" s="90">
        <v>6</v>
      </c>
      <c r="W13" s="83">
        <f>D13*V13</f>
        <v>1494</v>
      </c>
      <c r="X13" s="90"/>
      <c r="Y13" s="87">
        <f>D13*X13</f>
        <v>0</v>
      </c>
      <c r="Z13" s="69">
        <f>SUM(I13,O13,U13)</f>
        <v>3486</v>
      </c>
      <c r="AA13" s="126"/>
      <c r="AB13" s="70">
        <f>SUM(K13,Q13,W13)</f>
        <v>3735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7221</v>
      </c>
      <c r="H15" s="80"/>
      <c r="I15" s="93">
        <f>SUM(I11:I14)</f>
        <v>3486</v>
      </c>
      <c r="J15" s="81"/>
      <c r="K15" s="93">
        <f>SUM(K11:K14)</f>
        <v>498</v>
      </c>
      <c r="L15" s="81"/>
      <c r="M15" s="93">
        <f>SUM(M11:M14)</f>
        <v>0</v>
      </c>
      <c r="N15" s="80"/>
      <c r="O15" s="93">
        <f>SUM(O11:O14)</f>
        <v>0</v>
      </c>
      <c r="P15" s="81"/>
      <c r="Q15" s="93">
        <f>SUM(Q11:Q14)</f>
        <v>1743</v>
      </c>
      <c r="R15" s="81"/>
      <c r="S15" s="93">
        <f>SUM(S11:S14)</f>
        <v>0</v>
      </c>
      <c r="T15" s="80"/>
      <c r="U15" s="93">
        <f>SUM(U11:U14)</f>
        <v>0</v>
      </c>
      <c r="V15" s="81"/>
      <c r="W15" s="93">
        <f>SUM(W11:W14)</f>
        <v>1494</v>
      </c>
      <c r="X15" s="81"/>
      <c r="Y15" s="93">
        <f>SUM(Y11:Y14)</f>
        <v>0</v>
      </c>
      <c r="Z15" s="80">
        <f>SUM(Z11:Z14)</f>
        <v>3486</v>
      </c>
      <c r="AA15" s="128"/>
      <c r="AB15" s="81">
        <f>SUM(AB11:AB14)</f>
        <v>3735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42471</v>
      </c>
      <c r="H16" s="96">
        <f t="shared" ref="H16:AD16" si="0">SUM(H15,H10)</f>
        <v>0</v>
      </c>
      <c r="I16" s="97">
        <f>SUM(I15,I10)</f>
        <v>8736</v>
      </c>
      <c r="J16" s="97">
        <f t="shared" si="0"/>
        <v>0</v>
      </c>
      <c r="K16" s="97">
        <f t="shared" si="0"/>
        <v>4498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0</v>
      </c>
      <c r="P16" s="97">
        <f t="shared" si="0"/>
        <v>0</v>
      </c>
      <c r="Q16" s="97">
        <f t="shared" si="0"/>
        <v>15743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0</v>
      </c>
      <c r="V16" s="97">
        <f t="shared" si="0"/>
        <v>0</v>
      </c>
      <c r="W16" s="97">
        <f t="shared" si="0"/>
        <v>13494</v>
      </c>
      <c r="X16" s="97">
        <f t="shared" si="0"/>
        <v>0</v>
      </c>
      <c r="Y16" s="98">
        <f t="shared" si="0"/>
        <v>0</v>
      </c>
      <c r="Z16" s="99">
        <f t="shared" si="0"/>
        <v>8736</v>
      </c>
      <c r="AA16" s="97"/>
      <c r="AB16" s="97">
        <f t="shared" si="0"/>
        <v>33735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'28'!G42:H42</f>
        <v>0</v>
      </c>
      <c r="H30" s="152"/>
      <c r="I30" s="151">
        <f>'28'!I42:J42</f>
        <v>14</v>
      </c>
      <c r="J30" s="152"/>
      <c r="K30" s="151">
        <f>'28'!K42:L42</f>
        <v>0</v>
      </c>
      <c r="L30" s="152"/>
      <c r="M30" s="151">
        <f>'28'!M42:N42</f>
        <v>0</v>
      </c>
      <c r="N30" s="152"/>
      <c r="O30" s="151">
        <f>'28'!O42:P42</f>
        <v>0</v>
      </c>
      <c r="P30" s="152"/>
      <c r="Q30" s="151">
        <f>'28'!Q42:R42</f>
        <v>0</v>
      </c>
      <c r="R30" s="152"/>
      <c r="S30" s="151">
        <f>'28'!S42:T42</f>
        <v>0</v>
      </c>
      <c r="T30" s="152"/>
      <c r="U30" s="151">
        <f>'28'!U42:V42</f>
        <v>0</v>
      </c>
      <c r="V30" s="152"/>
      <c r="W30" s="151">
        <f>'28'!W42:X42</f>
        <v>0</v>
      </c>
      <c r="X30" s="152"/>
      <c r="Y30" s="151">
        <f>'28'!Y42:Z42</f>
        <v>93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32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160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16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37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7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6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48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>
        <v>17</v>
      </c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>
        <v>112</v>
      </c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29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141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46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253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17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112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U13" sqref="U13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8.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138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53</v>
      </c>
      <c r="I4" s="123"/>
      <c r="J4" s="123"/>
      <c r="K4" s="123"/>
      <c r="L4" s="123"/>
      <c r="M4" s="124"/>
      <c r="N4" s="122" t="s">
        <v>53</v>
      </c>
      <c r="O4" s="123"/>
      <c r="P4" s="123"/>
      <c r="Q4" s="123"/>
      <c r="R4" s="123"/>
      <c r="S4" s="124"/>
      <c r="T4" s="122" t="s">
        <v>53</v>
      </c>
      <c r="U4" s="123"/>
      <c r="V4" s="123" t="s">
        <v>103</v>
      </c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0.88928412627834597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42000</v>
      </c>
      <c r="H8" s="68">
        <v>56</v>
      </c>
      <c r="I8" s="65">
        <f>H8*D8</f>
        <v>14000</v>
      </c>
      <c r="J8" s="68"/>
      <c r="K8" s="65">
        <f>D8*J8</f>
        <v>0</v>
      </c>
      <c r="L8" s="68"/>
      <c r="M8" s="65">
        <f>D8*L8</f>
        <v>0</v>
      </c>
      <c r="N8" s="68">
        <v>56</v>
      </c>
      <c r="O8" s="65">
        <f>D8*N8</f>
        <v>14000</v>
      </c>
      <c r="P8" s="68"/>
      <c r="Q8" s="65">
        <f>D8*P8</f>
        <v>0</v>
      </c>
      <c r="R8" s="68"/>
      <c r="S8" s="65">
        <f>D8*R8</f>
        <v>0</v>
      </c>
      <c r="T8" s="68">
        <v>56</v>
      </c>
      <c r="U8" s="65">
        <f>D8*T8</f>
        <v>14000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42000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/>
      <c r="F10" s="73">
        <f>SUM(F6:F9)</f>
        <v>0</v>
      </c>
      <c r="G10" s="73">
        <f>SUM(G6:G9)</f>
        <v>42000</v>
      </c>
      <c r="H10" s="74"/>
      <c r="I10" s="75">
        <f>SUM(I6:I9)</f>
        <v>14000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14000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14000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42000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0.11071587372165403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5229</v>
      </c>
      <c r="H13" s="88">
        <v>7</v>
      </c>
      <c r="I13" s="83">
        <f>H13*D13</f>
        <v>1743</v>
      </c>
      <c r="J13" s="89"/>
      <c r="K13" s="83">
        <f>D13*J13</f>
        <v>0</v>
      </c>
      <c r="L13" s="90"/>
      <c r="M13" s="83">
        <f>D13*L13</f>
        <v>0</v>
      </c>
      <c r="N13" s="91">
        <v>7</v>
      </c>
      <c r="O13" s="83">
        <f>D13*N13</f>
        <v>1743</v>
      </c>
      <c r="P13" s="90"/>
      <c r="Q13" s="83">
        <f>D13*P13</f>
        <v>0</v>
      </c>
      <c r="R13" s="90"/>
      <c r="S13" s="83">
        <f>D13*R13</f>
        <v>0</v>
      </c>
      <c r="T13" s="90">
        <v>7</v>
      </c>
      <c r="U13" s="83">
        <f>D13*T13</f>
        <v>1743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5229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5229</v>
      </c>
      <c r="H15" s="80"/>
      <c r="I15" s="93">
        <f>SUM(I11:I14)</f>
        <v>1743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1743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1743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5229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47229</v>
      </c>
      <c r="H16" s="96">
        <f t="shared" ref="H16:AD16" si="0">SUM(H15,H10)</f>
        <v>0</v>
      </c>
      <c r="I16" s="97">
        <f>SUM(I15,I10)</f>
        <v>15743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15743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15743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47229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'29'!G42:H42</f>
        <v>0</v>
      </c>
      <c r="H30" s="152"/>
      <c r="I30" s="151">
        <f>'29'!I42:J42</f>
        <v>17</v>
      </c>
      <c r="J30" s="152"/>
      <c r="K30" s="151">
        <f>'29'!K42:L42</f>
        <v>0</v>
      </c>
      <c r="L30" s="152"/>
      <c r="M30" s="151">
        <f>'29'!M42:N42</f>
        <v>0</v>
      </c>
      <c r="N30" s="152"/>
      <c r="O30" s="151">
        <f>'29'!O42:P42</f>
        <v>0</v>
      </c>
      <c r="P30" s="152"/>
      <c r="Q30" s="151">
        <f>'29'!Q42:R42</f>
        <v>0</v>
      </c>
      <c r="R30" s="152"/>
      <c r="S30" s="151">
        <f>'29'!S42:T42</f>
        <v>0</v>
      </c>
      <c r="T30" s="152"/>
      <c r="U30" s="151">
        <f>'29'!U42:V42</f>
        <v>0</v>
      </c>
      <c r="V30" s="152"/>
      <c r="W30" s="151">
        <f>'29'!W42:X42</f>
        <v>0</v>
      </c>
      <c r="X30" s="152"/>
      <c r="Y30" s="151">
        <f>'29'!Y42:Z42</f>
        <v>112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160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7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56</v>
      </c>
      <c r="Z32" s="167"/>
      <c r="AA32" s="162"/>
      <c r="AB32" s="163"/>
      <c r="AC32" s="163"/>
      <c r="AD32" s="163"/>
      <c r="AE32" s="195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7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56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7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56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>
        <v>12</v>
      </c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>
        <v>104</v>
      </c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21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168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33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272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12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104</v>
      </c>
      <c r="Z42" s="184"/>
      <c r="AA42" s="189"/>
      <c r="AB42" s="189"/>
      <c r="AC42" s="189"/>
      <c r="AD42" s="189"/>
      <c r="AE42" s="189"/>
    </row>
  </sheetData>
  <mergeCells count="207">
    <mergeCell ref="AA42:AE42"/>
    <mergeCell ref="O42:P42"/>
    <mergeCell ref="Q42:R42"/>
    <mergeCell ref="S42:T42"/>
    <mergeCell ref="U42:V42"/>
    <mergeCell ref="W42:X42"/>
    <mergeCell ref="Y42:Z42"/>
    <mergeCell ref="B42:C42"/>
    <mergeCell ref="D42:F42"/>
    <mergeCell ref="G42:H42"/>
    <mergeCell ref="I42:J42"/>
    <mergeCell ref="K42:L42"/>
    <mergeCell ref="M42:N42"/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Q41:R41"/>
    <mergeCell ref="S41:T41"/>
    <mergeCell ref="M40:N40"/>
    <mergeCell ref="O40:P40"/>
    <mergeCell ref="Q40:R40"/>
    <mergeCell ref="S40:T40"/>
    <mergeCell ref="D41:F41"/>
    <mergeCell ref="G41:H41"/>
    <mergeCell ref="I41:J41"/>
    <mergeCell ref="K41:L41"/>
    <mergeCell ref="M41:N41"/>
    <mergeCell ref="O41:P41"/>
    <mergeCell ref="U41:V41"/>
    <mergeCell ref="W41:X41"/>
    <mergeCell ref="Y41:Z41"/>
    <mergeCell ref="AA41:AE41"/>
    <mergeCell ref="Y40:Z40"/>
    <mergeCell ref="AA40:AE40"/>
    <mergeCell ref="U40:V40"/>
    <mergeCell ref="W40:X40"/>
  </mergeCells>
  <phoneticPr fontId="6" type="noConversion"/>
  <dataValidations count="3">
    <dataValidation type="list" allowBlank="1" showInputMessage="1" showErrorMessage="1" sqref="G29:P29 C11:C14">
      <formula1>$AM$2:$AM$13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Q29:Z29 C6:C9">
      <formula1>$AO$2:$AO$10</formula1>
    </dataValidation>
  </dataValidations>
  <pageMargins left="0.7" right="0.7" top="0.75" bottom="0.75" header="0.3" footer="0.3"/>
  <pageSetup paperSize="1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topLeftCell="B1" zoomScale="85" zoomScaleNormal="85" workbookViewId="0">
      <selection activeCell="U14" sqref="U14"/>
    </sheetView>
  </sheetViews>
  <sheetFormatPr defaultRowHeight="17" x14ac:dyDescent="0.45"/>
  <cols>
    <col min="1" max="1" width="1.83203125" customWidth="1"/>
    <col min="2" max="2" width="5.5" customWidth="1"/>
    <col min="4" max="4" width="6.58203125" bestFit="1" customWidth="1"/>
    <col min="5" max="7" width="8.08203125" customWidth="1"/>
    <col min="8" max="8" width="4.58203125" customWidth="1"/>
    <col min="9" max="9" width="8.25" bestFit="1" customWidth="1"/>
    <col min="10" max="10" width="4.58203125" customWidth="1"/>
    <col min="11" max="11" width="6.58203125" customWidth="1"/>
    <col min="12" max="12" width="4.58203125" customWidth="1"/>
    <col min="13" max="13" width="6.58203125" customWidth="1"/>
    <col min="14" max="14" width="4.58203125" customWidth="1"/>
    <col min="15" max="15" width="8.25" bestFit="1" customWidth="1"/>
    <col min="16" max="16" width="4.58203125" customWidth="1"/>
    <col min="17" max="17" width="6.58203125" customWidth="1"/>
    <col min="18" max="18" width="4.58203125" customWidth="1"/>
    <col min="19" max="19" width="6.58203125" customWidth="1"/>
    <col min="20" max="20" width="4.58203125" customWidth="1"/>
    <col min="21" max="21" width="8.25" bestFit="1" customWidth="1"/>
    <col min="22" max="22" width="4.58203125" customWidth="1"/>
    <col min="23" max="23" width="6.58203125" customWidth="1"/>
    <col min="24" max="24" width="4.58203125" customWidth="1"/>
    <col min="25" max="25" width="6.58203125" customWidth="1"/>
    <col min="26" max="26" width="7.58203125" customWidth="1"/>
    <col min="27" max="27" width="6.58203125" customWidth="1"/>
    <col min="28" max="28" width="7.58203125" customWidth="1"/>
    <col min="29" max="29" width="6.58203125" customWidth="1"/>
    <col min="30" max="30" width="7.58203125" customWidth="1"/>
    <col min="31" max="31" width="6.58203125" customWidth="1"/>
    <col min="32" max="32" width="9" hidden="1" customWidth="1"/>
  </cols>
  <sheetData>
    <row r="1" spans="2:41" ht="30" x14ac:dyDescent="0.45">
      <c r="B1" s="1" t="s">
        <v>58</v>
      </c>
      <c r="AM1" s="57" t="s">
        <v>100</v>
      </c>
      <c r="AO1" s="57" t="s">
        <v>101</v>
      </c>
    </row>
    <row r="2" spans="2:41" ht="20.5" x14ac:dyDescent="0.45">
      <c r="B2" s="2" t="s">
        <v>1</v>
      </c>
      <c r="Z2" s="116" t="s">
        <v>139</v>
      </c>
      <c r="AA2" s="116"/>
      <c r="AB2" s="116"/>
      <c r="AC2" s="116"/>
      <c r="AD2" s="116"/>
      <c r="AE2" s="116"/>
      <c r="AK2" s="19" t="s">
        <v>45</v>
      </c>
      <c r="AM2" s="20" t="s">
        <v>35</v>
      </c>
      <c r="AN2" s="52"/>
      <c r="AO2" s="53" t="s">
        <v>95</v>
      </c>
    </row>
    <row r="3" spans="2:41" ht="18" customHeight="1" x14ac:dyDescent="0.45">
      <c r="B3" s="117" t="s">
        <v>0</v>
      </c>
      <c r="C3" s="117"/>
      <c r="D3" s="118" t="s">
        <v>2</v>
      </c>
      <c r="E3" s="119" t="s">
        <v>3</v>
      </c>
      <c r="F3" s="119" t="s">
        <v>4</v>
      </c>
      <c r="G3" s="119" t="s">
        <v>5</v>
      </c>
      <c r="H3" s="122" t="s">
        <v>57</v>
      </c>
      <c r="I3" s="123"/>
      <c r="J3" s="123"/>
      <c r="K3" s="123"/>
      <c r="L3" s="123"/>
      <c r="M3" s="124"/>
      <c r="N3" s="117" t="s">
        <v>56</v>
      </c>
      <c r="O3" s="117"/>
      <c r="P3" s="117"/>
      <c r="Q3" s="117"/>
      <c r="R3" s="117"/>
      <c r="S3" s="117"/>
      <c r="T3" s="117" t="s">
        <v>39</v>
      </c>
      <c r="U3" s="117"/>
      <c r="V3" s="117"/>
      <c r="W3" s="117"/>
      <c r="X3" s="117"/>
      <c r="Y3" s="117"/>
      <c r="Z3" s="117" t="s">
        <v>6</v>
      </c>
      <c r="AA3" s="117"/>
      <c r="AB3" s="117"/>
      <c r="AC3" s="117"/>
      <c r="AD3" s="117"/>
      <c r="AE3" s="117"/>
      <c r="AK3" s="19" t="s">
        <v>46</v>
      </c>
      <c r="AM3" s="22" t="s">
        <v>47</v>
      </c>
      <c r="AN3" s="54"/>
      <c r="AO3" s="53" t="s">
        <v>34</v>
      </c>
    </row>
    <row r="4" spans="2:41" ht="18" customHeight="1" x14ac:dyDescent="0.45">
      <c r="B4" s="117"/>
      <c r="C4" s="117"/>
      <c r="D4" s="118"/>
      <c r="E4" s="120"/>
      <c r="F4" s="120"/>
      <c r="G4" s="120"/>
      <c r="H4" s="122" t="s">
        <v>108</v>
      </c>
      <c r="I4" s="123"/>
      <c r="J4" s="123"/>
      <c r="K4" s="123"/>
      <c r="L4" s="123"/>
      <c r="M4" s="124"/>
      <c r="N4" s="122" t="s">
        <v>103</v>
      </c>
      <c r="O4" s="123"/>
      <c r="P4" s="123"/>
      <c r="Q4" s="123"/>
      <c r="R4" s="123"/>
      <c r="S4" s="124"/>
      <c r="T4" s="122" t="s">
        <v>103</v>
      </c>
      <c r="U4" s="123"/>
      <c r="V4" s="123"/>
      <c r="W4" s="123"/>
      <c r="X4" s="123"/>
      <c r="Y4" s="124"/>
      <c r="Z4" s="122" t="s">
        <v>53</v>
      </c>
      <c r="AA4" s="123"/>
      <c r="AB4" s="123"/>
      <c r="AC4" s="123"/>
      <c r="AD4" s="123"/>
      <c r="AE4" s="124"/>
      <c r="AK4" s="19">
        <v>0</v>
      </c>
      <c r="AM4" s="22" t="s">
        <v>48</v>
      </c>
      <c r="AN4" s="54"/>
      <c r="AO4" s="53" t="s">
        <v>49</v>
      </c>
    </row>
    <row r="5" spans="2:41" ht="18" customHeight="1" x14ac:dyDescent="0.45">
      <c r="B5" s="117"/>
      <c r="C5" s="117"/>
      <c r="D5" s="118"/>
      <c r="E5" s="121"/>
      <c r="F5" s="121"/>
      <c r="G5" s="121"/>
      <c r="H5" s="61" t="s">
        <v>7</v>
      </c>
      <c r="I5" s="62" t="s">
        <v>8</v>
      </c>
      <c r="J5" s="62" t="s">
        <v>7</v>
      </c>
      <c r="K5" s="62" t="s">
        <v>8</v>
      </c>
      <c r="L5" s="62" t="s">
        <v>7</v>
      </c>
      <c r="M5" s="63" t="s">
        <v>8</v>
      </c>
      <c r="N5" s="61" t="s">
        <v>7</v>
      </c>
      <c r="O5" s="62" t="s">
        <v>8</v>
      </c>
      <c r="P5" s="62" t="s">
        <v>7</v>
      </c>
      <c r="Q5" s="62" t="s">
        <v>8</v>
      </c>
      <c r="R5" s="62" t="s">
        <v>7</v>
      </c>
      <c r="S5" s="63" t="s">
        <v>8</v>
      </c>
      <c r="T5" s="61" t="s">
        <v>7</v>
      </c>
      <c r="U5" s="62" t="s">
        <v>8</v>
      </c>
      <c r="V5" s="62" t="s">
        <v>7</v>
      </c>
      <c r="W5" s="62" t="s">
        <v>8</v>
      </c>
      <c r="X5" s="62" t="s">
        <v>7</v>
      </c>
      <c r="Y5" s="63" t="s">
        <v>8</v>
      </c>
      <c r="Z5" s="61" t="s">
        <v>6</v>
      </c>
      <c r="AA5" s="62" t="s">
        <v>9</v>
      </c>
      <c r="AB5" s="62" t="s">
        <v>6</v>
      </c>
      <c r="AC5" s="62" t="s">
        <v>9</v>
      </c>
      <c r="AD5" s="62" t="s">
        <v>6</v>
      </c>
      <c r="AE5" s="63" t="s">
        <v>9</v>
      </c>
      <c r="AK5" s="19">
        <v>0</v>
      </c>
      <c r="AM5" s="22" t="s">
        <v>38</v>
      </c>
      <c r="AN5" s="54"/>
      <c r="AO5" s="53" t="s">
        <v>96</v>
      </c>
    </row>
    <row r="6" spans="2:41" ht="18" customHeight="1" x14ac:dyDescent="0.45">
      <c r="B6" s="117" t="s">
        <v>10</v>
      </c>
      <c r="C6" s="3" t="s">
        <v>36</v>
      </c>
      <c r="D6" s="100">
        <v>247</v>
      </c>
      <c r="E6" s="5"/>
      <c r="F6" s="5"/>
      <c r="G6" s="4">
        <f>SUM(Z6,AB6,AD6)</f>
        <v>0</v>
      </c>
      <c r="H6" s="64"/>
      <c r="I6" s="65">
        <f>H6*D6</f>
        <v>0</v>
      </c>
      <c r="J6" s="64"/>
      <c r="K6" s="65">
        <f>D6*J6</f>
        <v>0</v>
      </c>
      <c r="L6" s="64"/>
      <c r="M6" s="65">
        <f>D6*L6</f>
        <v>0</v>
      </c>
      <c r="N6" s="64"/>
      <c r="O6" s="65">
        <f>D6*N6</f>
        <v>0</v>
      </c>
      <c r="P6" s="64"/>
      <c r="Q6" s="65">
        <f>D6*P6</f>
        <v>0</v>
      </c>
      <c r="R6" s="64"/>
      <c r="S6" s="65">
        <f>D6*R6</f>
        <v>0</v>
      </c>
      <c r="T6" s="64"/>
      <c r="U6" s="65">
        <f>D6*T6</f>
        <v>0</v>
      </c>
      <c r="V6" s="64"/>
      <c r="W6" s="65">
        <f>D6*V6</f>
        <v>0</v>
      </c>
      <c r="X6" s="64"/>
      <c r="Y6" s="65">
        <f>D6*X6</f>
        <v>0</v>
      </c>
      <c r="Z6" s="66">
        <f>SUM(I6,O6,U6)</f>
        <v>0</v>
      </c>
      <c r="AA6" s="125">
        <f>IFERROR(Z10/Z16,"")</f>
        <v>0.88928412627834597</v>
      </c>
      <c r="AB6" s="67">
        <f>SUM(K6,Q6,W6)</f>
        <v>0</v>
      </c>
      <c r="AC6" s="125" t="str">
        <f>IFERROR(AB10/AB16,"")</f>
        <v/>
      </c>
      <c r="AD6" s="67">
        <f>SUM(M6,S6,Y6)</f>
        <v>0</v>
      </c>
      <c r="AE6" s="129" t="str">
        <f>IFERROR(AD10/AD16,"")</f>
        <v/>
      </c>
      <c r="AF6" t="s">
        <v>11</v>
      </c>
      <c r="AK6" s="19"/>
      <c r="AM6" s="55" t="s">
        <v>50</v>
      </c>
      <c r="AN6" s="54"/>
      <c r="AO6" s="53" t="s">
        <v>36</v>
      </c>
    </row>
    <row r="7" spans="2:41" ht="18" customHeight="1" x14ac:dyDescent="0.45">
      <c r="B7" s="117"/>
      <c r="C7" s="3" t="s">
        <v>94</v>
      </c>
      <c r="D7" s="101">
        <v>137</v>
      </c>
      <c r="E7" s="7"/>
      <c r="F7" s="7"/>
      <c r="G7" s="6">
        <f>SUM(Z7,AB7,AD7)</f>
        <v>0</v>
      </c>
      <c r="H7" s="68"/>
      <c r="I7" s="65">
        <f>H7*D7</f>
        <v>0</v>
      </c>
      <c r="J7" s="68"/>
      <c r="K7" s="65">
        <f>D7*J7</f>
        <v>0</v>
      </c>
      <c r="L7" s="68"/>
      <c r="M7" s="65">
        <f>D7*L7</f>
        <v>0</v>
      </c>
      <c r="N7" s="68"/>
      <c r="O7" s="65">
        <f>D7*N7</f>
        <v>0</v>
      </c>
      <c r="P7" s="68"/>
      <c r="Q7" s="65">
        <f>D7*P7</f>
        <v>0</v>
      </c>
      <c r="R7" s="68"/>
      <c r="S7" s="65">
        <f>D7*R7</f>
        <v>0</v>
      </c>
      <c r="T7" s="68"/>
      <c r="U7" s="65">
        <f>D7*T7</f>
        <v>0</v>
      </c>
      <c r="V7" s="68"/>
      <c r="W7" s="65">
        <f>D7*V7</f>
        <v>0</v>
      </c>
      <c r="X7" s="68"/>
      <c r="Y7" s="65">
        <f>D7*X7</f>
        <v>0</v>
      </c>
      <c r="Z7" s="69">
        <f>SUM(I7,O7,U7)</f>
        <v>0</v>
      </c>
      <c r="AA7" s="126"/>
      <c r="AB7" s="70">
        <f>SUM(K7,Q7,W7)</f>
        <v>0</v>
      </c>
      <c r="AC7" s="126"/>
      <c r="AD7" s="70">
        <f>SUM(M7,S7,Y7)</f>
        <v>0</v>
      </c>
      <c r="AE7" s="130"/>
      <c r="AF7" t="s">
        <v>12</v>
      </c>
      <c r="AK7" s="19"/>
      <c r="AM7" s="54" t="s">
        <v>97</v>
      </c>
      <c r="AN7" s="54"/>
      <c r="AO7" s="53" t="s">
        <v>102</v>
      </c>
    </row>
    <row r="8" spans="2:41" ht="18" customHeight="1" x14ac:dyDescent="0.45">
      <c r="B8" s="117"/>
      <c r="C8" s="3" t="s">
        <v>43</v>
      </c>
      <c r="D8" s="101">
        <v>250</v>
      </c>
      <c r="E8" s="7"/>
      <c r="F8" s="7"/>
      <c r="G8" s="6">
        <f>SUM(Z8,AB8,AD8)</f>
        <v>46000</v>
      </c>
      <c r="H8" s="68">
        <v>64</v>
      </c>
      <c r="I8" s="65">
        <f>H8*D8</f>
        <v>16000</v>
      </c>
      <c r="J8" s="68"/>
      <c r="K8" s="65">
        <f>D8*J8</f>
        <v>0</v>
      </c>
      <c r="L8" s="68"/>
      <c r="M8" s="65">
        <f>D8*L8</f>
        <v>0</v>
      </c>
      <c r="N8" s="68">
        <v>64</v>
      </c>
      <c r="O8" s="65">
        <f>D8*N8</f>
        <v>16000</v>
      </c>
      <c r="P8" s="68"/>
      <c r="Q8" s="65">
        <f>D8*P8</f>
        <v>0</v>
      </c>
      <c r="R8" s="68"/>
      <c r="S8" s="65">
        <f>D8*R8</f>
        <v>0</v>
      </c>
      <c r="T8" s="68">
        <v>56</v>
      </c>
      <c r="U8" s="65">
        <f>D8*T8</f>
        <v>14000</v>
      </c>
      <c r="V8" s="68"/>
      <c r="W8" s="65">
        <f>D8*V8</f>
        <v>0</v>
      </c>
      <c r="X8" s="68"/>
      <c r="Y8" s="65">
        <f>D8*X8</f>
        <v>0</v>
      </c>
      <c r="Z8" s="69">
        <f>SUM(I8,O8,U8)</f>
        <v>46000</v>
      </c>
      <c r="AA8" s="126"/>
      <c r="AB8" s="70">
        <f>SUM(K8,Q8,W8)</f>
        <v>0</v>
      </c>
      <c r="AC8" s="126"/>
      <c r="AD8" s="70">
        <f>SUM(M8,S8,Y8)</f>
        <v>0</v>
      </c>
      <c r="AE8" s="130"/>
      <c r="AF8" t="s">
        <v>13</v>
      </c>
      <c r="AK8" s="19"/>
      <c r="AM8" s="54" t="s">
        <v>51</v>
      </c>
      <c r="AN8" s="54"/>
      <c r="AO8" s="53">
        <v>0</v>
      </c>
    </row>
    <row r="9" spans="2:41" ht="18" customHeight="1" x14ac:dyDescent="0.45">
      <c r="B9" s="117"/>
      <c r="C9" s="3" t="s">
        <v>42</v>
      </c>
      <c r="D9" s="102">
        <v>249</v>
      </c>
      <c r="E9" s="71"/>
      <c r="F9" s="71"/>
      <c r="G9" s="6">
        <f>SUM(Z9,AB9,AD9)</f>
        <v>0</v>
      </c>
      <c r="H9" s="68"/>
      <c r="I9" s="65">
        <f>H9*D9</f>
        <v>0</v>
      </c>
      <c r="J9" s="68"/>
      <c r="K9" s="65">
        <f>D9*J9</f>
        <v>0</v>
      </c>
      <c r="L9" s="68"/>
      <c r="M9" s="65">
        <f>D9*L9</f>
        <v>0</v>
      </c>
      <c r="N9" s="68"/>
      <c r="O9" s="65">
        <f>D9*N9</f>
        <v>0</v>
      </c>
      <c r="P9" s="68"/>
      <c r="Q9" s="65">
        <f>D9*P9</f>
        <v>0</v>
      </c>
      <c r="R9" s="68"/>
      <c r="S9" s="65">
        <f>D9*R9</f>
        <v>0</v>
      </c>
      <c r="T9" s="68"/>
      <c r="U9" s="65">
        <f>D9*T9</f>
        <v>0</v>
      </c>
      <c r="V9" s="68"/>
      <c r="W9" s="65">
        <f>D9*V9</f>
        <v>0</v>
      </c>
      <c r="X9" s="68"/>
      <c r="Y9" s="65">
        <f>D9*X9</f>
        <v>0</v>
      </c>
      <c r="Z9" s="69">
        <f>SUM(I9,O9,U9)</f>
        <v>0</v>
      </c>
      <c r="AA9" s="126"/>
      <c r="AB9" s="70">
        <f>SUM(K9,Q9,W9)</f>
        <v>0</v>
      </c>
      <c r="AC9" s="126"/>
      <c r="AD9" s="70">
        <f>SUM(M9,S9,Y9)</f>
        <v>0</v>
      </c>
      <c r="AE9" s="130"/>
      <c r="AK9" s="19"/>
      <c r="AM9" s="54" t="s">
        <v>52</v>
      </c>
      <c r="AN9" s="54"/>
      <c r="AO9" s="53">
        <v>0</v>
      </c>
    </row>
    <row r="10" spans="2:41" ht="18" customHeight="1" x14ac:dyDescent="0.45">
      <c r="B10" s="117"/>
      <c r="C10" s="26" t="s">
        <v>14</v>
      </c>
      <c r="D10" s="92"/>
      <c r="E10" s="73">
        <f>SUM(E6:E9)</f>
        <v>0</v>
      </c>
      <c r="F10" s="73">
        <f>SUM(F6:F9)</f>
        <v>0</v>
      </c>
      <c r="G10" s="73">
        <f>SUM(G6:G9)</f>
        <v>46000</v>
      </c>
      <c r="H10" s="74"/>
      <c r="I10" s="75">
        <f>SUM(I6:I9)</f>
        <v>16000</v>
      </c>
      <c r="J10" s="76"/>
      <c r="K10" s="77">
        <f>SUM(K6:K9)</f>
        <v>0</v>
      </c>
      <c r="L10" s="78"/>
      <c r="M10" s="77">
        <f>SUM(M6:M9)</f>
        <v>0</v>
      </c>
      <c r="N10" s="74"/>
      <c r="O10" s="77">
        <f>SUM(O6:O9)</f>
        <v>16000</v>
      </c>
      <c r="P10" s="78"/>
      <c r="Q10" s="77">
        <f>SUM(Q6:Q9)</f>
        <v>0</v>
      </c>
      <c r="R10" s="78"/>
      <c r="S10" s="77">
        <f>SUM(S6:S9)</f>
        <v>0</v>
      </c>
      <c r="T10" s="74"/>
      <c r="U10" s="77">
        <f>SUM(U6:U9)</f>
        <v>14000</v>
      </c>
      <c r="V10" s="78"/>
      <c r="W10" s="77">
        <f>SUM(W6:W9)</f>
        <v>0</v>
      </c>
      <c r="X10" s="78"/>
      <c r="Y10" s="79">
        <f>SUM(Y6:Y9)</f>
        <v>0</v>
      </c>
      <c r="Z10" s="80">
        <f>SUM(Z6:Z9)</f>
        <v>46000</v>
      </c>
      <c r="AA10" s="127"/>
      <c r="AB10" s="80">
        <f>SUM(AB6:AB9)</f>
        <v>0</v>
      </c>
      <c r="AC10" s="128"/>
      <c r="AD10" s="81">
        <f>SUM(AD6:AD9)</f>
        <v>0</v>
      </c>
      <c r="AE10" s="131"/>
      <c r="AK10" s="19"/>
      <c r="AM10" s="54" t="s">
        <v>33</v>
      </c>
      <c r="AN10" s="54"/>
      <c r="AO10" s="53">
        <v>0</v>
      </c>
    </row>
    <row r="11" spans="2:41" ht="18" customHeight="1" x14ac:dyDescent="0.45">
      <c r="B11" s="117" t="s">
        <v>15</v>
      </c>
      <c r="C11" s="25" t="s">
        <v>92</v>
      </c>
      <c r="D11" s="100"/>
      <c r="E11" s="5"/>
      <c r="F11" s="5"/>
      <c r="G11" s="17">
        <f>SUM(Z11,AB11,AD11)</f>
        <v>0</v>
      </c>
      <c r="H11" s="82"/>
      <c r="I11" s="83">
        <f>H11*D11</f>
        <v>0</v>
      </c>
      <c r="J11" s="84"/>
      <c r="K11" s="83">
        <f>D11*J11</f>
        <v>0</v>
      </c>
      <c r="L11" s="85"/>
      <c r="M11" s="83">
        <f>D11*L11</f>
        <v>0</v>
      </c>
      <c r="N11" s="86"/>
      <c r="O11" s="83">
        <f>D11*N11</f>
        <v>0</v>
      </c>
      <c r="P11" s="85"/>
      <c r="Q11" s="83">
        <f>D11*P11</f>
        <v>0</v>
      </c>
      <c r="R11" s="85"/>
      <c r="S11" s="83">
        <f>D11*R11</f>
        <v>0</v>
      </c>
      <c r="T11" s="85"/>
      <c r="U11" s="83">
        <f>D11*T11</f>
        <v>0</v>
      </c>
      <c r="V11" s="85"/>
      <c r="W11" s="83">
        <f>D11*V11</f>
        <v>0</v>
      </c>
      <c r="X11" s="85"/>
      <c r="Y11" s="87">
        <f>D11*X11</f>
        <v>0</v>
      </c>
      <c r="Z11" s="66">
        <f>SUM(I11,O11,U11)</f>
        <v>0</v>
      </c>
      <c r="AA11" s="125">
        <f>IFERROR(1-AA6,"")</f>
        <v>0.11071587372165403</v>
      </c>
      <c r="AB11" s="67">
        <f>SUM(K11,Q11,W11)</f>
        <v>0</v>
      </c>
      <c r="AC11" s="125" t="str">
        <f>IFERROR(1-AC6,"")</f>
        <v/>
      </c>
      <c r="AD11" s="67">
        <f>SUM(M11,S11,Y11)</f>
        <v>0</v>
      </c>
      <c r="AE11" s="129" t="str">
        <f>IFERROR(1-AE6,"")</f>
        <v/>
      </c>
      <c r="AK11" s="19"/>
      <c r="AM11" s="54" t="s">
        <v>98</v>
      </c>
      <c r="AN11" s="54"/>
      <c r="AO11" s="56"/>
    </row>
    <row r="12" spans="2:41" ht="18" customHeight="1" x14ac:dyDescent="0.45">
      <c r="B12" s="117"/>
      <c r="C12" s="25" t="s">
        <v>41</v>
      </c>
      <c r="D12" s="101"/>
      <c r="E12" s="7"/>
      <c r="F12" s="7"/>
      <c r="G12" s="18">
        <f>SUM(Z12,AB12,AD12)</f>
        <v>0</v>
      </c>
      <c r="H12" s="88"/>
      <c r="I12" s="83">
        <f>H12*D12</f>
        <v>0</v>
      </c>
      <c r="J12" s="89"/>
      <c r="K12" s="83">
        <f>D12*J12</f>
        <v>0</v>
      </c>
      <c r="L12" s="90"/>
      <c r="M12" s="83">
        <f>D12*L12</f>
        <v>0</v>
      </c>
      <c r="N12" s="91"/>
      <c r="O12" s="83">
        <f>D12*N12</f>
        <v>0</v>
      </c>
      <c r="P12" s="90"/>
      <c r="Q12" s="83">
        <f>D12*P12</f>
        <v>0</v>
      </c>
      <c r="R12" s="90"/>
      <c r="S12" s="83">
        <f>D12*R12</f>
        <v>0</v>
      </c>
      <c r="T12" s="90"/>
      <c r="U12" s="83">
        <f>D12*T12</f>
        <v>0</v>
      </c>
      <c r="V12" s="90"/>
      <c r="W12" s="83">
        <f>D12*V12</f>
        <v>0</v>
      </c>
      <c r="X12" s="90"/>
      <c r="Y12" s="87">
        <f>D12*X12</f>
        <v>0</v>
      </c>
      <c r="Z12" s="69">
        <f>SUM(I12,O12,U12)</f>
        <v>0</v>
      </c>
      <c r="AA12" s="126"/>
      <c r="AB12" s="70">
        <f>SUM(K12,Q12,W12)</f>
        <v>0</v>
      </c>
      <c r="AC12" s="126"/>
      <c r="AD12" s="70">
        <f>SUM(M12,S12,Y12)</f>
        <v>0</v>
      </c>
      <c r="AE12" s="130"/>
      <c r="AK12" s="19"/>
      <c r="AM12" s="54" t="s">
        <v>54</v>
      </c>
      <c r="AN12" s="54"/>
      <c r="AO12" s="56"/>
    </row>
    <row r="13" spans="2:41" ht="18" customHeight="1" x14ac:dyDescent="0.45">
      <c r="B13" s="117"/>
      <c r="C13" s="25" t="s">
        <v>40</v>
      </c>
      <c r="D13" s="101">
        <v>249</v>
      </c>
      <c r="E13" s="7"/>
      <c r="F13" s="7"/>
      <c r="G13" s="18">
        <f>SUM(Z13,AB13,AD13)</f>
        <v>5727</v>
      </c>
      <c r="H13" s="88">
        <v>8</v>
      </c>
      <c r="I13" s="83">
        <f>H13*D13</f>
        <v>1992</v>
      </c>
      <c r="J13" s="89"/>
      <c r="K13" s="83">
        <f>D13*J13</f>
        <v>0</v>
      </c>
      <c r="L13" s="90"/>
      <c r="M13" s="83">
        <f>D13*L13</f>
        <v>0</v>
      </c>
      <c r="N13" s="91">
        <v>8</v>
      </c>
      <c r="O13" s="83">
        <f>D13*N13</f>
        <v>1992</v>
      </c>
      <c r="P13" s="90"/>
      <c r="Q13" s="83">
        <f>D13*P13</f>
        <v>0</v>
      </c>
      <c r="R13" s="90"/>
      <c r="S13" s="83">
        <f>D13*R13</f>
        <v>0</v>
      </c>
      <c r="T13" s="90">
        <v>7</v>
      </c>
      <c r="U13" s="83">
        <f>D13*T13</f>
        <v>1743</v>
      </c>
      <c r="V13" s="90"/>
      <c r="W13" s="83">
        <f>D13*V13</f>
        <v>0</v>
      </c>
      <c r="X13" s="90"/>
      <c r="Y13" s="87">
        <f>D13*X13</f>
        <v>0</v>
      </c>
      <c r="Z13" s="69">
        <f>SUM(I13,O13,U13)</f>
        <v>5727</v>
      </c>
      <c r="AA13" s="126"/>
      <c r="AB13" s="70">
        <f>SUM(K13,Q13,W13)</f>
        <v>0</v>
      </c>
      <c r="AC13" s="126"/>
      <c r="AD13" s="70">
        <f>SUM(M13,S13,Y13)</f>
        <v>0</v>
      </c>
      <c r="AE13" s="130"/>
      <c r="AK13" s="19"/>
      <c r="AM13" s="54" t="s">
        <v>99</v>
      </c>
      <c r="AN13" s="54"/>
      <c r="AO13" s="56"/>
    </row>
    <row r="14" spans="2:41" ht="18" customHeight="1" x14ac:dyDescent="0.45">
      <c r="B14" s="117"/>
      <c r="C14" s="25" t="s">
        <v>55</v>
      </c>
      <c r="D14" s="102">
        <v>150</v>
      </c>
      <c r="E14" s="71"/>
      <c r="F14" s="71"/>
      <c r="G14" s="18">
        <f>SUM(Z14,AB14,AD14)</f>
        <v>0</v>
      </c>
      <c r="H14" s="88"/>
      <c r="I14" s="83">
        <f>H14*D14</f>
        <v>0</v>
      </c>
      <c r="J14" s="89"/>
      <c r="K14" s="83">
        <f>D14*J14</f>
        <v>0</v>
      </c>
      <c r="L14" s="90"/>
      <c r="M14" s="83">
        <f>D14*L14</f>
        <v>0</v>
      </c>
      <c r="N14" s="91"/>
      <c r="O14" s="83">
        <f>D14*N14</f>
        <v>0</v>
      </c>
      <c r="P14" s="90"/>
      <c r="Q14" s="83">
        <f>D14*P14</f>
        <v>0</v>
      </c>
      <c r="R14" s="90"/>
      <c r="S14" s="83">
        <f>D14*R14</f>
        <v>0</v>
      </c>
      <c r="T14" s="90"/>
      <c r="U14" s="83">
        <f>D14*T14</f>
        <v>0</v>
      </c>
      <c r="V14" s="90"/>
      <c r="W14" s="83">
        <f>D14*V14</f>
        <v>0</v>
      </c>
      <c r="X14" s="90"/>
      <c r="Y14" s="87">
        <f>D14*X14</f>
        <v>0</v>
      </c>
      <c r="Z14" s="69">
        <f>SUM(I14,O14,U14)</f>
        <v>0</v>
      </c>
      <c r="AA14" s="126"/>
      <c r="AB14" s="70">
        <f>SUM(K14,Q14,W14)</f>
        <v>0</v>
      </c>
      <c r="AC14" s="126"/>
      <c r="AD14" s="70">
        <f>SUM(M14,S14,Y14)</f>
        <v>0</v>
      </c>
      <c r="AE14" s="130"/>
    </row>
    <row r="15" spans="2:41" ht="18" customHeight="1" x14ac:dyDescent="0.45">
      <c r="B15" s="117"/>
      <c r="C15" s="26" t="s">
        <v>16</v>
      </c>
      <c r="D15" s="92"/>
      <c r="E15" s="73">
        <f>SUM(E11:E14)</f>
        <v>0</v>
      </c>
      <c r="F15" s="73">
        <f>SUM(F11:F14)</f>
        <v>0</v>
      </c>
      <c r="G15" s="73">
        <f>SUM(G11:G14)</f>
        <v>5727</v>
      </c>
      <c r="H15" s="80"/>
      <c r="I15" s="93">
        <f>SUM(I11:I14)</f>
        <v>1992</v>
      </c>
      <c r="J15" s="81"/>
      <c r="K15" s="93">
        <f>SUM(K11:K14)</f>
        <v>0</v>
      </c>
      <c r="L15" s="81"/>
      <c r="M15" s="93">
        <f>SUM(M11:M14)</f>
        <v>0</v>
      </c>
      <c r="N15" s="80"/>
      <c r="O15" s="93">
        <f>SUM(O11:O14)</f>
        <v>1992</v>
      </c>
      <c r="P15" s="81"/>
      <c r="Q15" s="93">
        <f>SUM(Q11:Q14)</f>
        <v>0</v>
      </c>
      <c r="R15" s="81"/>
      <c r="S15" s="93">
        <f>SUM(S11:S14)</f>
        <v>0</v>
      </c>
      <c r="T15" s="80"/>
      <c r="U15" s="93">
        <f>SUM(U11:U14)</f>
        <v>1743</v>
      </c>
      <c r="V15" s="81"/>
      <c r="W15" s="93">
        <f>SUM(W11:W14)</f>
        <v>0</v>
      </c>
      <c r="X15" s="81"/>
      <c r="Y15" s="93">
        <f>SUM(Y11:Y14)</f>
        <v>0</v>
      </c>
      <c r="Z15" s="80">
        <f>SUM(Z11:Z14)</f>
        <v>5727</v>
      </c>
      <c r="AA15" s="128"/>
      <c r="AB15" s="81">
        <f>SUM(AB11:AB14)</f>
        <v>0</v>
      </c>
      <c r="AC15" s="128"/>
      <c r="AD15" s="81">
        <f>SUM(AD11:AD14)</f>
        <v>0</v>
      </c>
      <c r="AE15" s="131"/>
    </row>
    <row r="16" spans="2:41" ht="18" customHeight="1" x14ac:dyDescent="0.45">
      <c r="B16" s="132" t="s">
        <v>17</v>
      </c>
      <c r="C16" s="133"/>
      <c r="D16" s="134"/>
      <c r="E16" s="94">
        <f>SUM(E15,E10)</f>
        <v>0</v>
      </c>
      <c r="F16" s="94">
        <f>SUM(F15,F10)</f>
        <v>0</v>
      </c>
      <c r="G16" s="95">
        <f>SUM(G10,G15)</f>
        <v>51727</v>
      </c>
      <c r="H16" s="96">
        <f t="shared" ref="H16:AD16" si="0">SUM(H15,H10)</f>
        <v>0</v>
      </c>
      <c r="I16" s="97">
        <f>SUM(I15,I10)</f>
        <v>17992</v>
      </c>
      <c r="J16" s="97">
        <f t="shared" si="0"/>
        <v>0</v>
      </c>
      <c r="K16" s="97">
        <f t="shared" si="0"/>
        <v>0</v>
      </c>
      <c r="L16" s="97">
        <f t="shared" si="0"/>
        <v>0</v>
      </c>
      <c r="M16" s="98">
        <f t="shared" si="0"/>
        <v>0</v>
      </c>
      <c r="N16" s="99">
        <f t="shared" si="0"/>
        <v>0</v>
      </c>
      <c r="O16" s="97">
        <f t="shared" si="0"/>
        <v>17992</v>
      </c>
      <c r="P16" s="97">
        <f t="shared" si="0"/>
        <v>0</v>
      </c>
      <c r="Q16" s="97">
        <f t="shared" si="0"/>
        <v>0</v>
      </c>
      <c r="R16" s="97">
        <f t="shared" si="0"/>
        <v>0</v>
      </c>
      <c r="S16" s="98">
        <f t="shared" si="0"/>
        <v>0</v>
      </c>
      <c r="T16" s="99">
        <f t="shared" si="0"/>
        <v>0</v>
      </c>
      <c r="U16" s="97">
        <f t="shared" si="0"/>
        <v>15743</v>
      </c>
      <c r="V16" s="97">
        <f t="shared" si="0"/>
        <v>0</v>
      </c>
      <c r="W16" s="97">
        <f t="shared" si="0"/>
        <v>0</v>
      </c>
      <c r="X16" s="97">
        <f t="shared" si="0"/>
        <v>0</v>
      </c>
      <c r="Y16" s="98">
        <f t="shared" si="0"/>
        <v>0</v>
      </c>
      <c r="Z16" s="99">
        <f t="shared" si="0"/>
        <v>51727</v>
      </c>
      <c r="AA16" s="97"/>
      <c r="AB16" s="97">
        <f t="shared" si="0"/>
        <v>0</v>
      </c>
      <c r="AC16" s="97"/>
      <c r="AD16" s="97">
        <f t="shared" si="0"/>
        <v>0</v>
      </c>
      <c r="AE16" s="98"/>
    </row>
    <row r="17" spans="2:31" ht="18" hidden="1" customHeight="1" x14ac:dyDescent="0.45"/>
    <row r="18" spans="2:31" ht="18" hidden="1" customHeight="1" x14ac:dyDescent="0.45"/>
    <row r="19" spans="2:31" ht="18" hidden="1" customHeight="1" x14ac:dyDescent="0.45"/>
    <row r="20" spans="2:31" ht="18" hidden="1" customHeight="1" x14ac:dyDescent="0.45"/>
    <row r="21" spans="2:31" ht="18" hidden="1" customHeight="1" x14ac:dyDescent="0.45"/>
    <row r="22" spans="2:31" ht="18" hidden="1" customHeight="1" x14ac:dyDescent="0.45"/>
    <row r="23" spans="2:31" ht="18" hidden="1" customHeight="1" x14ac:dyDescent="0.45"/>
    <row r="24" spans="2:31" ht="18" hidden="1" customHeight="1" x14ac:dyDescent="0.45"/>
    <row r="25" spans="2:31" ht="18" hidden="1" customHeight="1" x14ac:dyDescent="0.45"/>
    <row r="26" spans="2:31" ht="18" hidden="1" customHeight="1" x14ac:dyDescent="0.45"/>
    <row r="27" spans="2:31" ht="18" customHeight="1" x14ac:dyDescent="0.45">
      <c r="B27" s="2" t="s">
        <v>28</v>
      </c>
      <c r="AE27" s="12"/>
    </row>
    <row r="28" spans="2:31" ht="18" customHeight="1" x14ac:dyDescent="0.45">
      <c r="B28" s="135" t="s">
        <v>0</v>
      </c>
      <c r="C28" s="135"/>
      <c r="D28" s="136" t="s">
        <v>29</v>
      </c>
      <c r="E28" s="137"/>
      <c r="F28" s="137"/>
      <c r="G28" s="138" t="s">
        <v>30</v>
      </c>
      <c r="H28" s="139"/>
      <c r="I28" s="139"/>
      <c r="J28" s="139"/>
      <c r="K28" s="139"/>
      <c r="L28" s="139"/>
      <c r="M28" s="139"/>
      <c r="N28" s="139"/>
      <c r="O28" s="139"/>
      <c r="P28" s="140"/>
      <c r="Q28" s="135" t="s">
        <v>31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41" t="s">
        <v>18</v>
      </c>
      <c r="AB28" s="142"/>
      <c r="AC28" s="142"/>
      <c r="AD28" s="142"/>
      <c r="AE28" s="143"/>
    </row>
    <row r="29" spans="2:31" ht="18" customHeight="1" x14ac:dyDescent="0.45">
      <c r="B29" s="135"/>
      <c r="C29" s="135"/>
      <c r="D29" s="136" t="s">
        <v>32</v>
      </c>
      <c r="E29" s="137"/>
      <c r="F29" s="137"/>
      <c r="G29" s="138" t="s">
        <v>92</v>
      </c>
      <c r="H29" s="139"/>
      <c r="I29" s="138" t="s">
        <v>40</v>
      </c>
      <c r="J29" s="139"/>
      <c r="K29" s="138"/>
      <c r="L29" s="139"/>
      <c r="M29" s="138" t="s">
        <v>44</v>
      </c>
      <c r="N29" s="139"/>
      <c r="O29" s="136" t="s">
        <v>55</v>
      </c>
      <c r="P29" s="150"/>
      <c r="Q29" s="135"/>
      <c r="R29" s="135"/>
      <c r="S29" s="135" t="s">
        <v>93</v>
      </c>
      <c r="T29" s="135"/>
      <c r="U29" s="135" t="s">
        <v>42</v>
      </c>
      <c r="V29" s="135"/>
      <c r="W29" s="136" t="s">
        <v>94</v>
      </c>
      <c r="X29" s="150"/>
      <c r="Y29" s="136" t="s">
        <v>37</v>
      </c>
      <c r="Z29" s="150"/>
      <c r="AA29" s="144"/>
      <c r="AB29" s="145"/>
      <c r="AC29" s="145"/>
      <c r="AD29" s="145"/>
      <c r="AE29" s="146"/>
    </row>
    <row r="30" spans="2:31" ht="18" customHeight="1" x14ac:dyDescent="0.45">
      <c r="B30" s="135"/>
      <c r="C30" s="135"/>
      <c r="D30" s="136" t="s">
        <v>19</v>
      </c>
      <c r="E30" s="137"/>
      <c r="F30" s="137"/>
      <c r="G30" s="151">
        <f>'30'!G42:H42</f>
        <v>0</v>
      </c>
      <c r="H30" s="152"/>
      <c r="I30" s="151">
        <f>'30'!I42:J42</f>
        <v>12</v>
      </c>
      <c r="J30" s="152"/>
      <c r="K30" s="151">
        <f>'30'!K42:L42</f>
        <v>0</v>
      </c>
      <c r="L30" s="152"/>
      <c r="M30" s="151">
        <f>'30'!M42:N42</f>
        <v>0</v>
      </c>
      <c r="N30" s="152"/>
      <c r="O30" s="151">
        <f>'30'!O42:P42</f>
        <v>0</v>
      </c>
      <c r="P30" s="152"/>
      <c r="Q30" s="151">
        <f>'30'!Q42:R42</f>
        <v>0</v>
      </c>
      <c r="R30" s="152"/>
      <c r="S30" s="151">
        <f>'30'!S42:T42</f>
        <v>0</v>
      </c>
      <c r="T30" s="152"/>
      <c r="U30" s="151">
        <f>'30'!U42:V42</f>
        <v>0</v>
      </c>
      <c r="V30" s="152"/>
      <c r="W30" s="151">
        <f>'30'!W42:X42</f>
        <v>0</v>
      </c>
      <c r="X30" s="152"/>
      <c r="Y30" s="151">
        <f>'30'!Y42:Z42</f>
        <v>104</v>
      </c>
      <c r="Z30" s="152"/>
      <c r="AA30" s="147"/>
      <c r="AB30" s="148"/>
      <c r="AC30" s="148"/>
      <c r="AD30" s="148"/>
      <c r="AE30" s="149"/>
    </row>
    <row r="31" spans="2:31" ht="18" customHeight="1" x14ac:dyDescent="0.45">
      <c r="B31" s="141" t="s">
        <v>20</v>
      </c>
      <c r="C31" s="143"/>
      <c r="D31" s="153" t="s">
        <v>21</v>
      </c>
      <c r="E31" s="154"/>
      <c r="F31" s="154"/>
      <c r="G31" s="155"/>
      <c r="H31" s="156"/>
      <c r="I31" s="156">
        <v>16</v>
      </c>
      <c r="J31" s="156"/>
      <c r="K31" s="156"/>
      <c r="L31" s="156"/>
      <c r="M31" s="156"/>
      <c r="N31" s="156"/>
      <c r="O31" s="156"/>
      <c r="P31" s="157"/>
      <c r="Q31" s="158"/>
      <c r="R31" s="158"/>
      <c r="S31" s="158"/>
      <c r="T31" s="158"/>
      <c r="U31" s="158"/>
      <c r="V31" s="158"/>
      <c r="W31" s="158"/>
      <c r="X31" s="158"/>
      <c r="Y31" s="158">
        <v>192</v>
      </c>
      <c r="Z31" s="158"/>
      <c r="AA31" s="159"/>
      <c r="AB31" s="160"/>
      <c r="AC31" s="160"/>
      <c r="AD31" s="160"/>
      <c r="AE31" s="161"/>
    </row>
    <row r="32" spans="2:31" ht="18" customHeight="1" x14ac:dyDescent="0.45">
      <c r="B32" s="144"/>
      <c r="C32" s="146"/>
      <c r="D32" s="162" t="s">
        <v>22</v>
      </c>
      <c r="E32" s="163"/>
      <c r="F32" s="163"/>
      <c r="G32" s="164"/>
      <c r="H32" s="165"/>
      <c r="I32" s="165">
        <v>8</v>
      </c>
      <c r="J32" s="165"/>
      <c r="K32" s="165"/>
      <c r="L32" s="165"/>
      <c r="M32" s="165"/>
      <c r="N32" s="165"/>
      <c r="O32" s="165"/>
      <c r="P32" s="166"/>
      <c r="Q32" s="167"/>
      <c r="R32" s="167"/>
      <c r="S32" s="167"/>
      <c r="T32" s="167"/>
      <c r="U32" s="167"/>
      <c r="V32" s="167"/>
      <c r="W32" s="167"/>
      <c r="X32" s="167"/>
      <c r="Y32" s="167">
        <v>64</v>
      </c>
      <c r="Z32" s="167"/>
      <c r="AA32" s="168"/>
      <c r="AB32" s="169"/>
      <c r="AC32" s="169"/>
      <c r="AD32" s="169"/>
      <c r="AE32" s="170"/>
    </row>
    <row r="33" spans="2:31" ht="18" customHeight="1" x14ac:dyDescent="0.45">
      <c r="B33" s="147"/>
      <c r="C33" s="149"/>
      <c r="D33" s="171" t="s">
        <v>23</v>
      </c>
      <c r="E33" s="172"/>
      <c r="F33" s="172"/>
      <c r="G33" s="173"/>
      <c r="H33" s="174"/>
      <c r="I33" s="174"/>
      <c r="J33" s="174"/>
      <c r="K33" s="174"/>
      <c r="L33" s="174"/>
      <c r="M33" s="174"/>
      <c r="N33" s="174"/>
      <c r="O33" s="174"/>
      <c r="P33" s="175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7"/>
      <c r="AB33" s="178"/>
      <c r="AC33" s="178"/>
      <c r="AD33" s="178"/>
      <c r="AE33" s="179"/>
    </row>
    <row r="34" spans="2:31" ht="18" customHeight="1" x14ac:dyDescent="0.45">
      <c r="B34" s="141" t="s">
        <v>24</v>
      </c>
      <c r="C34" s="143"/>
      <c r="D34" s="153" t="s">
        <v>21</v>
      </c>
      <c r="E34" s="154"/>
      <c r="F34" s="154"/>
      <c r="G34" s="155"/>
      <c r="H34" s="156"/>
      <c r="I34" s="156"/>
      <c r="J34" s="156"/>
      <c r="K34" s="156"/>
      <c r="L34" s="156"/>
      <c r="M34" s="156"/>
      <c r="N34" s="156"/>
      <c r="O34" s="156"/>
      <c r="P34" s="157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9"/>
      <c r="AB34" s="160"/>
      <c r="AC34" s="160"/>
      <c r="AD34" s="160"/>
      <c r="AE34" s="161"/>
    </row>
    <row r="35" spans="2:31" ht="18" customHeight="1" x14ac:dyDescent="0.45">
      <c r="B35" s="144"/>
      <c r="C35" s="146"/>
      <c r="D35" s="162" t="s">
        <v>22</v>
      </c>
      <c r="E35" s="163"/>
      <c r="F35" s="163"/>
      <c r="G35" s="164"/>
      <c r="H35" s="165"/>
      <c r="I35" s="165">
        <v>8</v>
      </c>
      <c r="J35" s="165"/>
      <c r="K35" s="165"/>
      <c r="L35" s="165"/>
      <c r="M35" s="165"/>
      <c r="N35" s="165"/>
      <c r="O35" s="165"/>
      <c r="P35" s="166"/>
      <c r="Q35" s="167"/>
      <c r="R35" s="167"/>
      <c r="S35" s="167"/>
      <c r="T35" s="167"/>
      <c r="U35" s="167"/>
      <c r="V35" s="167"/>
      <c r="W35" s="167"/>
      <c r="X35" s="167"/>
      <c r="Y35" s="167">
        <v>64</v>
      </c>
      <c r="Z35" s="167"/>
      <c r="AA35" s="168"/>
      <c r="AB35" s="169"/>
      <c r="AC35" s="169"/>
      <c r="AD35" s="169"/>
      <c r="AE35" s="170"/>
    </row>
    <row r="36" spans="2:31" ht="18" customHeight="1" x14ac:dyDescent="0.45">
      <c r="B36" s="147"/>
      <c r="C36" s="149"/>
      <c r="D36" s="171" t="s">
        <v>23</v>
      </c>
      <c r="E36" s="172"/>
      <c r="F36" s="172"/>
      <c r="G36" s="173"/>
      <c r="H36" s="174"/>
      <c r="I36" s="174"/>
      <c r="J36" s="174"/>
      <c r="K36" s="174"/>
      <c r="L36" s="174"/>
      <c r="M36" s="174"/>
      <c r="N36" s="174"/>
      <c r="O36" s="174"/>
      <c r="P36" s="175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7"/>
      <c r="AB36" s="178"/>
      <c r="AC36" s="178"/>
      <c r="AD36" s="178"/>
      <c r="AE36" s="179"/>
    </row>
    <row r="37" spans="2:31" ht="18" customHeight="1" x14ac:dyDescent="0.45">
      <c r="B37" s="141" t="s">
        <v>25</v>
      </c>
      <c r="C37" s="143"/>
      <c r="D37" s="153" t="s">
        <v>21</v>
      </c>
      <c r="E37" s="154"/>
      <c r="F37" s="154"/>
      <c r="G37" s="155"/>
      <c r="H37" s="156"/>
      <c r="I37" s="156"/>
      <c r="J37" s="156"/>
      <c r="K37" s="156"/>
      <c r="L37" s="156"/>
      <c r="M37" s="156"/>
      <c r="N37" s="156"/>
      <c r="O37" s="156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9"/>
      <c r="AB37" s="160"/>
      <c r="AC37" s="160"/>
      <c r="AD37" s="160"/>
      <c r="AE37" s="161"/>
    </row>
    <row r="38" spans="2:31" ht="18" customHeight="1" x14ac:dyDescent="0.45">
      <c r="B38" s="144"/>
      <c r="C38" s="146"/>
      <c r="D38" s="162" t="s">
        <v>22</v>
      </c>
      <c r="E38" s="163"/>
      <c r="F38" s="163"/>
      <c r="G38" s="164"/>
      <c r="H38" s="165"/>
      <c r="I38" s="165">
        <v>7</v>
      </c>
      <c r="J38" s="165"/>
      <c r="K38" s="165"/>
      <c r="L38" s="165"/>
      <c r="M38" s="165"/>
      <c r="N38" s="165"/>
      <c r="O38" s="165"/>
      <c r="P38" s="166"/>
      <c r="Q38" s="167"/>
      <c r="R38" s="167"/>
      <c r="S38" s="167"/>
      <c r="T38" s="167"/>
      <c r="U38" s="167"/>
      <c r="V38" s="167"/>
      <c r="W38" s="167"/>
      <c r="X38" s="167"/>
      <c r="Y38" s="167">
        <v>56</v>
      </c>
      <c r="Z38" s="167"/>
      <c r="AA38" s="168"/>
      <c r="AB38" s="169"/>
      <c r="AC38" s="169"/>
      <c r="AD38" s="169"/>
      <c r="AE38" s="170"/>
    </row>
    <row r="39" spans="2:31" ht="18" customHeight="1" x14ac:dyDescent="0.45">
      <c r="B39" s="147"/>
      <c r="C39" s="149"/>
      <c r="D39" s="171" t="s">
        <v>23</v>
      </c>
      <c r="E39" s="172"/>
      <c r="F39" s="172"/>
      <c r="G39" s="173"/>
      <c r="H39" s="174"/>
      <c r="I39" s="174"/>
      <c r="J39" s="174"/>
      <c r="K39" s="174"/>
      <c r="L39" s="174"/>
      <c r="M39" s="174"/>
      <c r="N39" s="174"/>
      <c r="O39" s="174"/>
      <c r="P39" s="175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7"/>
      <c r="AB39" s="178"/>
      <c r="AC39" s="178"/>
      <c r="AD39" s="178"/>
      <c r="AE39" s="179"/>
    </row>
    <row r="40" spans="2:31" ht="18" customHeight="1" x14ac:dyDescent="0.45">
      <c r="B40" s="141" t="s">
        <v>17</v>
      </c>
      <c r="C40" s="143"/>
      <c r="D40" s="153" t="s">
        <v>26</v>
      </c>
      <c r="E40" s="154"/>
      <c r="F40" s="154"/>
      <c r="G40" s="180">
        <f>SUM(G32,G35,G38)</f>
        <v>0</v>
      </c>
      <c r="H40" s="181"/>
      <c r="I40" s="181">
        <f>SUM(I32,I35,I38)</f>
        <v>23</v>
      </c>
      <c r="J40" s="181"/>
      <c r="K40" s="181">
        <f>SUM(K32,K35,K38)</f>
        <v>0</v>
      </c>
      <c r="L40" s="181"/>
      <c r="M40" s="181">
        <f>SUM(M32,M35,M38)</f>
        <v>0</v>
      </c>
      <c r="N40" s="181"/>
      <c r="O40" s="181">
        <f>SUM(O32,O35,O38)</f>
        <v>0</v>
      </c>
      <c r="P40" s="182"/>
      <c r="Q40" s="180">
        <f>SUM(Q32,Q35,Q38)</f>
        <v>0</v>
      </c>
      <c r="R40" s="181"/>
      <c r="S40" s="181">
        <f>SUM(S32,S35,S38)</f>
        <v>0</v>
      </c>
      <c r="T40" s="181"/>
      <c r="U40" s="181">
        <f>SUM(U32,U35,U38)</f>
        <v>0</v>
      </c>
      <c r="V40" s="181"/>
      <c r="W40" s="181">
        <f>SUM(W32,W35,W38)</f>
        <v>0</v>
      </c>
      <c r="X40" s="181"/>
      <c r="Y40" s="181">
        <f>SUM(Y32,Y35,Y38)</f>
        <v>184</v>
      </c>
      <c r="Z40" s="188"/>
      <c r="AA40" s="159"/>
      <c r="AB40" s="160"/>
      <c r="AC40" s="160"/>
      <c r="AD40" s="160"/>
      <c r="AE40" s="161"/>
    </row>
    <row r="41" spans="2:31" x14ac:dyDescent="0.45">
      <c r="B41" s="144"/>
      <c r="C41" s="146"/>
      <c r="D41" s="193" t="s">
        <v>27</v>
      </c>
      <c r="E41" s="194"/>
      <c r="F41" s="194"/>
      <c r="G41" s="192">
        <f>SUM(G30,G31,G34,G37)</f>
        <v>0</v>
      </c>
      <c r="H41" s="183"/>
      <c r="I41" s="183">
        <f>SUM(I30,I31,I34,I37)</f>
        <v>28</v>
      </c>
      <c r="J41" s="183"/>
      <c r="K41" s="183">
        <f>SUM(K30,K31,K34,K37)</f>
        <v>0</v>
      </c>
      <c r="L41" s="183"/>
      <c r="M41" s="183">
        <f>SUM(M30,M31,M34,M37)</f>
        <v>0</v>
      </c>
      <c r="N41" s="183"/>
      <c r="O41" s="183">
        <f>SUM(O30,O31,O34,O37)</f>
        <v>0</v>
      </c>
      <c r="P41" s="191"/>
      <c r="Q41" s="192">
        <f>SUM(Q30,Q31,Q34,Q37)</f>
        <v>0</v>
      </c>
      <c r="R41" s="183"/>
      <c r="S41" s="183">
        <f>SUM(S30,S31,S34,S37)</f>
        <v>0</v>
      </c>
      <c r="T41" s="183"/>
      <c r="U41" s="183">
        <f>SUM(U30,U31,U34,U37)</f>
        <v>0</v>
      </c>
      <c r="V41" s="183"/>
      <c r="W41" s="183">
        <f>SUM(W30,W31,W34,W37)</f>
        <v>0</v>
      </c>
      <c r="X41" s="183"/>
      <c r="Y41" s="183">
        <f>SUM(Y30,Y31,Y34,Y37)</f>
        <v>296</v>
      </c>
      <c r="Z41" s="190"/>
      <c r="AA41" s="185"/>
      <c r="AB41" s="186"/>
      <c r="AC41" s="186"/>
      <c r="AD41" s="186"/>
      <c r="AE41" s="187"/>
    </row>
    <row r="42" spans="2:31" x14ac:dyDescent="0.45">
      <c r="B42" s="189"/>
      <c r="C42" s="189"/>
      <c r="D42" s="189" t="s">
        <v>68</v>
      </c>
      <c r="E42" s="189"/>
      <c r="F42" s="189"/>
      <c r="G42" s="184">
        <f>G41-G40</f>
        <v>0</v>
      </c>
      <c r="H42" s="184"/>
      <c r="I42" s="184">
        <f>I41-I40</f>
        <v>5</v>
      </c>
      <c r="J42" s="184"/>
      <c r="K42" s="184">
        <f>K41-K40</f>
        <v>0</v>
      </c>
      <c r="L42" s="184"/>
      <c r="M42" s="184">
        <f>M41-M40</f>
        <v>0</v>
      </c>
      <c r="N42" s="184"/>
      <c r="O42" s="184">
        <f>O41-O40</f>
        <v>0</v>
      </c>
      <c r="P42" s="184"/>
      <c r="Q42" s="184">
        <f>Q41-Q40</f>
        <v>0</v>
      </c>
      <c r="R42" s="184"/>
      <c r="S42" s="184">
        <f>S41-S40</f>
        <v>0</v>
      </c>
      <c r="T42" s="184"/>
      <c r="U42" s="184">
        <f>U41-U40</f>
        <v>0</v>
      </c>
      <c r="V42" s="184"/>
      <c r="W42" s="184">
        <f>W41-W40</f>
        <v>0</v>
      </c>
      <c r="X42" s="184"/>
      <c r="Y42" s="184">
        <f>Y41-Y40</f>
        <v>112</v>
      </c>
      <c r="Z42" s="184"/>
      <c r="AA42" s="189"/>
      <c r="AB42" s="189"/>
      <c r="AC42" s="189"/>
      <c r="AD42" s="189"/>
      <c r="AE42" s="189"/>
    </row>
  </sheetData>
  <mergeCells count="207">
    <mergeCell ref="Z2:AE2"/>
    <mergeCell ref="B3:C5"/>
    <mergeCell ref="D3:D5"/>
    <mergeCell ref="E3:E5"/>
    <mergeCell ref="F3:F5"/>
    <mergeCell ref="G3:G5"/>
    <mergeCell ref="H3:M3"/>
    <mergeCell ref="N3:S3"/>
    <mergeCell ref="T3:Y3"/>
    <mergeCell ref="Z3:AE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6:B10"/>
    <mergeCell ref="AA6:AA10"/>
    <mergeCell ref="AC6:AC10"/>
    <mergeCell ref="AE6:AE10"/>
    <mergeCell ref="B11:B15"/>
    <mergeCell ref="AA11:AA15"/>
    <mergeCell ref="AC11:AC15"/>
    <mergeCell ref="AE11:AE15"/>
    <mergeCell ref="B16:D16"/>
    <mergeCell ref="B28:C30"/>
    <mergeCell ref="D28:F28"/>
    <mergeCell ref="G28:P28"/>
    <mergeCell ref="Q28:Z28"/>
    <mergeCell ref="AA28:AE30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B31:C33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E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E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E33"/>
    <mergeCell ref="B34:C36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E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E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E36"/>
    <mergeCell ref="B37:C39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E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E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E39"/>
    <mergeCell ref="B40:C41"/>
    <mergeCell ref="D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E40"/>
    <mergeCell ref="D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E41"/>
    <mergeCell ref="B42:C42"/>
    <mergeCell ref="D42:F42"/>
    <mergeCell ref="G42:H42"/>
    <mergeCell ref="I42:J42"/>
    <mergeCell ref="K42:L42"/>
    <mergeCell ref="M42:N42"/>
    <mergeCell ref="AA42:AE42"/>
    <mergeCell ref="O42:P42"/>
    <mergeCell ref="Q42:R42"/>
    <mergeCell ref="S42:T42"/>
    <mergeCell ref="U42:V42"/>
    <mergeCell ref="W42:X42"/>
    <mergeCell ref="Y42:Z42"/>
  </mergeCells>
  <phoneticPr fontId="7" type="noConversion"/>
  <dataValidations count="3">
    <dataValidation type="list" allowBlank="1" showInputMessage="1" showErrorMessage="1" sqref="Q29:Z29 C6:C9">
      <formula1>$AO$2:$AO$10</formula1>
    </dataValidation>
    <dataValidation type="list" allowBlank="1" showInputMessage="1" showErrorMessage="1" sqref="H4:AE4">
      <formula1>$AK$2:$AK$5</formula1>
    </dataValidation>
    <dataValidation type="list" allowBlank="1" showInputMessage="1" showErrorMessage="1" sqref="G29:P29 C11:C14">
      <formula1>$AM$2:$AM$13</formula1>
    </dataValidation>
  </dataValidations>
  <pageMargins left="0.7" right="0.7" top="0.75" bottom="0.75" header="0.3" footer="0.3"/>
  <pageSetup paperSize="1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38"/>
  <sheetViews>
    <sheetView topLeftCell="E1" zoomScale="85" zoomScaleNormal="85" workbookViewId="0">
      <selection activeCell="AD20" sqref="AD20"/>
    </sheetView>
  </sheetViews>
  <sheetFormatPr defaultRowHeight="17" x14ac:dyDescent="0.45"/>
  <cols>
    <col min="1" max="1" width="2.33203125" customWidth="1"/>
    <col min="2" max="2" width="8" customWidth="1"/>
    <col min="3" max="11" width="10.58203125" customWidth="1"/>
    <col min="12" max="14" width="10.58203125" hidden="1" customWidth="1"/>
    <col min="15" max="23" width="10.58203125" customWidth="1"/>
    <col min="24" max="26" width="10.58203125" hidden="1" customWidth="1"/>
    <col min="27" max="27" width="10.58203125" customWidth="1"/>
    <col min="30" max="33" width="11.5" customWidth="1"/>
    <col min="35" max="35" width="13.08203125" customWidth="1"/>
    <col min="36" max="36" width="11.58203125" customWidth="1"/>
    <col min="37" max="37" width="13.08203125" customWidth="1"/>
    <col min="38" max="38" width="11.58203125" customWidth="1"/>
  </cols>
  <sheetData>
    <row r="1" spans="2:38" ht="26" x14ac:dyDescent="0.45">
      <c r="B1" s="196" t="s">
        <v>91</v>
      </c>
      <c r="C1" s="196"/>
      <c r="D1" s="196"/>
      <c r="E1" s="196"/>
      <c r="F1" s="196"/>
      <c r="G1" s="196"/>
      <c r="H1" s="196"/>
      <c r="I1" s="48"/>
      <c r="J1" s="48"/>
      <c r="K1" s="48"/>
      <c r="L1" s="48"/>
      <c r="M1" s="48"/>
      <c r="N1" s="48"/>
    </row>
    <row r="2" spans="2:38" ht="26" x14ac:dyDescent="0.45">
      <c r="B2" s="196"/>
      <c r="C2" s="196"/>
      <c r="D2" s="196"/>
      <c r="E2" s="196"/>
      <c r="F2" s="196"/>
      <c r="G2" s="196"/>
      <c r="H2" s="196"/>
      <c r="I2" s="48"/>
      <c r="J2" s="48"/>
      <c r="K2" s="48"/>
      <c r="L2" s="48"/>
      <c r="M2" s="48"/>
      <c r="N2" s="48"/>
    </row>
    <row r="3" spans="2:38" ht="18" thickBot="1" x14ac:dyDescent="0.5">
      <c r="AC3" s="21" t="s">
        <v>75</v>
      </c>
      <c r="AI3" s="21" t="s">
        <v>74</v>
      </c>
    </row>
    <row r="4" spans="2:38" x14ac:dyDescent="0.45">
      <c r="B4" s="197" t="s">
        <v>0</v>
      </c>
      <c r="C4" s="199" t="s">
        <v>10</v>
      </c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1"/>
      <c r="O4" s="199" t="s">
        <v>15</v>
      </c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1"/>
      <c r="AA4" s="197" t="s">
        <v>59</v>
      </c>
      <c r="AC4" s="215" t="s">
        <v>72</v>
      </c>
      <c r="AD4" s="211" t="s">
        <v>71</v>
      </c>
      <c r="AE4" s="211"/>
      <c r="AF4" s="211" t="s">
        <v>66</v>
      </c>
      <c r="AG4" s="212"/>
      <c r="AI4" s="206" t="s">
        <v>71</v>
      </c>
      <c r="AJ4" s="210"/>
      <c r="AK4" s="206" t="s">
        <v>66</v>
      </c>
      <c r="AL4" s="207"/>
    </row>
    <row r="5" spans="2:38" x14ac:dyDescent="0.45">
      <c r="B5" s="198"/>
      <c r="C5" s="202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4"/>
      <c r="O5" s="202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4"/>
      <c r="AA5" s="205"/>
      <c r="AC5" s="216"/>
      <c r="AD5" s="213"/>
      <c r="AE5" s="213"/>
      <c r="AF5" s="213"/>
      <c r="AG5" s="214"/>
      <c r="AI5" s="208"/>
      <c r="AJ5" s="203"/>
      <c r="AK5" s="208"/>
      <c r="AL5" s="209"/>
    </row>
    <row r="6" spans="2:38" x14ac:dyDescent="0.45">
      <c r="B6" s="13" t="s">
        <v>60</v>
      </c>
      <c r="C6" s="14" t="s">
        <v>61</v>
      </c>
      <c r="D6" s="15" t="s">
        <v>22</v>
      </c>
      <c r="E6" s="27" t="s">
        <v>62</v>
      </c>
      <c r="F6" s="14" t="s">
        <v>61</v>
      </c>
      <c r="G6" s="27" t="s">
        <v>63</v>
      </c>
      <c r="H6" s="16" t="s">
        <v>64</v>
      </c>
      <c r="I6" s="14" t="s">
        <v>61</v>
      </c>
      <c r="J6" s="49" t="s">
        <v>22</v>
      </c>
      <c r="K6" s="16" t="s">
        <v>62</v>
      </c>
      <c r="L6" s="14" t="s">
        <v>61</v>
      </c>
      <c r="M6" s="49" t="s">
        <v>22</v>
      </c>
      <c r="N6" s="16" t="s">
        <v>62</v>
      </c>
      <c r="O6" s="14" t="s">
        <v>61</v>
      </c>
      <c r="P6" s="15" t="s">
        <v>22</v>
      </c>
      <c r="Q6" s="27" t="s">
        <v>62</v>
      </c>
      <c r="R6" s="14" t="s">
        <v>61</v>
      </c>
      <c r="S6" s="27" t="s">
        <v>22</v>
      </c>
      <c r="T6" s="16" t="s">
        <v>62</v>
      </c>
      <c r="U6" s="14" t="s">
        <v>61</v>
      </c>
      <c r="V6" s="49" t="s">
        <v>22</v>
      </c>
      <c r="W6" s="16" t="s">
        <v>62</v>
      </c>
      <c r="X6" s="14" t="s">
        <v>61</v>
      </c>
      <c r="Y6" s="49" t="s">
        <v>22</v>
      </c>
      <c r="Z6" s="16" t="s">
        <v>62</v>
      </c>
      <c r="AA6" s="198"/>
      <c r="AC6" s="29" t="s">
        <v>70</v>
      </c>
      <c r="AD6" s="13" t="s">
        <v>69</v>
      </c>
      <c r="AE6" s="13" t="s">
        <v>67</v>
      </c>
      <c r="AF6" s="13" t="s">
        <v>69</v>
      </c>
      <c r="AG6" s="31" t="s">
        <v>67</v>
      </c>
      <c r="AI6" s="29" t="s">
        <v>88</v>
      </c>
      <c r="AJ6" s="30" t="s">
        <v>69</v>
      </c>
      <c r="AK6" s="29" t="s">
        <v>88</v>
      </c>
      <c r="AL6" s="31" t="s">
        <v>87</v>
      </c>
    </row>
    <row r="7" spans="2:38" x14ac:dyDescent="0.45">
      <c r="B7" s="13">
        <v>1</v>
      </c>
      <c r="C7" s="10" t="str">
        <f>IF(OR(D7=0, D7="", COUNTIF('1'!$G$6:$G$9, D7)=0), "", INDEX('1'!$C$6:$C$9, MATCH(D7, '1'!$G$6:$G$9, 0)))</f>
        <v>Acacia</v>
      </c>
      <c r="D7" s="23">
        <f t="array" ref="D7">LARGE(IF(ISNUMBER('1'!$G$6:$G$9), '1'!$G$6:$G$9), 1)</f>
        <v>49500</v>
      </c>
      <c r="E7" s="8">
        <f>IFERROR(D7 / (SUM(D7, G7, J7, M7,P7,S7,V7,Y7)), "")</f>
        <v>0.91697232410803597</v>
      </c>
      <c r="F7" s="10" t="str">
        <f>IF(OR(G7=0, G7="", COUNTIF('1'!$G$6:$G$9, G7)=0), "", INDEX('1'!$C$6:$C$9, MATCH(G7, '1'!$G$6:$G$9, 0)))</f>
        <v/>
      </c>
      <c r="G7" s="24">
        <f t="array" ref="G7">LARGE(IF(ISNUMBER('1'!$G$6:$G$9), '1'!$G$6:$G$9), 2)</f>
        <v>0</v>
      </c>
      <c r="H7" s="9">
        <f>IFERROR(G7 / (SUM(D7, G7, J7, M7,P7,S7,V7,Y7)), "")</f>
        <v>0</v>
      </c>
      <c r="I7" s="10" t="str">
        <f>IF(OR(J7=0, J7="", COUNTIF('1'!$G$6:$G$9, J7)=0), "", INDEX('1'!$C$6:$C$9, MATCH(J7, '1'!$G$6:$G$9, 0)))</f>
        <v/>
      </c>
      <c r="J7" s="24">
        <f t="array" ref="J7">LARGE(IF(ISNUMBER('1'!$G$6:$G$9), '1'!$G$6:$G$9), 3)</f>
        <v>0</v>
      </c>
      <c r="K7" s="9">
        <f>IFERROR(J7 / (SUM(D7, G7, J7, M7,P7,S7,V7,Y7)), "")</f>
        <v>0</v>
      </c>
      <c r="L7" s="10" t="str">
        <f>IF(OR(M7=0, M7="", COUNTIF('1'!$G$6:$G$9, M7)=0), "", INDEX('1'!$C$6:$C$9, MATCH(M7, '1'!$G$6:$G$9, 0)))</f>
        <v/>
      </c>
      <c r="M7" s="24">
        <f t="array" ref="M7">LARGE(IF(ISNUMBER('1'!$G$6:$G$9), '1'!$G$6:$G$9), 4)</f>
        <v>0</v>
      </c>
      <c r="N7" s="9">
        <f>IFERROR(M7 / (SUM(D7, G7, J7, M7,P7,S7,V7,Y7)), "")</f>
        <v>0</v>
      </c>
      <c r="O7" s="10" t="str">
        <f>IF(OR(P7=0, P7="", COUNTIF('1'!$G$11:$G$14, P7)=0), "", INDEX('1'!$C$11:$C$14, MATCH(P7, '1'!$G$11:$G$14, 0)))</f>
        <v>멧자</v>
      </c>
      <c r="P7" s="23">
        <f t="array" ref="P7">LARGE(IF(ISNUMBER('1'!$G$11:$G$14), '1'!$G$11:$G$14), 1)</f>
        <v>4482</v>
      </c>
      <c r="Q7" s="8">
        <f>IFERROR(P7 / (SUM(D7,G7,J7,M7,P7, S7, V7, Y7)), "")</f>
        <v>8.3027675891963984E-2</v>
      </c>
      <c r="R7" s="10" t="str">
        <f>IF(OR(S7=0, S7="", COUNTIF('1'!$G$11:$G$14, S7)=0), "", INDEX('1'!$C$11:$C$14, MATCH(S7, '1'!$G$11:$G$14, 0)))</f>
        <v/>
      </c>
      <c r="S7" s="24">
        <f t="array" ref="S7">LARGE(IF(ISNUMBER('1'!$G$11:$G$14), '1'!$G$11:$G$14), 2)</f>
        <v>0</v>
      </c>
      <c r="T7" s="9">
        <f>IFERROR(S7 / (SUM(D7,G7,J7,P7, S7, V7, Y7)), "")</f>
        <v>0</v>
      </c>
      <c r="U7" s="10" t="str">
        <f>IF(OR(V7=0, V7="", COUNTIF('1'!$G$11:$G$14, V7)=0), "", INDEX('1'!$C$11:$C$14, MATCH(V7, '1'!$G$11:$G$14, 0)))</f>
        <v/>
      </c>
      <c r="V7" s="24">
        <f t="array" ref="V7">LARGE(IF(ISNUMBER('1'!$G$11:$G$14), '1'!$G$11:$G$14), 3)</f>
        <v>0</v>
      </c>
      <c r="W7" s="9">
        <f>IFERROR(V7 / (SUM(D7,G7,J7,M7,S7, V7, Y7, P7)), "")</f>
        <v>0</v>
      </c>
      <c r="X7" s="10" t="str">
        <f>IF(OR(Y7=0, Y7="", COUNTIF('1'!$G$11:$G$14, Y7)=0), "", INDEX('1'!$C$11:$C$14, MATCH(Y7, '1'!$G$11:$G$14, 0)))</f>
        <v/>
      </c>
      <c r="Y7" s="24">
        <f t="array" ref="Y7">LARGE(IF(ISNUMBER('1'!$G$11:$G$14), '1'!$G$11:$G$14), 4)</f>
        <v>0</v>
      </c>
      <c r="Z7" s="9">
        <f>IFERROR(Y7 / (SUM(D7,G7,J7,M7,V7, Y7, P7, S7)), "")</f>
        <v>0</v>
      </c>
      <c r="AA7" s="11">
        <f>SUM(D7,G7,J7,M7,V7,Y7,P7,S7)</f>
        <v>53982</v>
      </c>
      <c r="AC7" s="29">
        <v>1</v>
      </c>
      <c r="AD7" s="32">
        <f>SUM(D7,G7,J7,M7)</f>
        <v>49500</v>
      </c>
      <c r="AE7" s="50">
        <f>IFERROR(AD7/(AD7+AF7),"")</f>
        <v>0.91697232410803597</v>
      </c>
      <c r="AF7" s="32">
        <f>SUM(P7,S7,V7,Y7)</f>
        <v>4482</v>
      </c>
      <c r="AG7" s="51">
        <f>IFERROR(AF7/(AF7+AD7),"")</f>
        <v>8.3027675891963984E-2</v>
      </c>
      <c r="AI7" s="29" t="s">
        <v>76</v>
      </c>
      <c r="AJ7" s="39">
        <f>SUMPRODUCT(($C$7:$C$37=AI7)*$D$7:$D$37) + SUMPRODUCT(($F$7:$F$37=AI7)*$G$7:$G$37) + SUMPRODUCT(($I$7:$I$37=AI7)*$J$7:$J$37) + SUMPRODUCT(($L$7:$L$37=AI7)*$M$7:$M$37)</f>
        <v>1107000</v>
      </c>
      <c r="AK7" s="29" t="s">
        <v>81</v>
      </c>
      <c r="AL7" s="42">
        <f>SUMPRODUCT(($O$7:$O$37=AK7)*$P$7:$P$37) + SUMPRODUCT(($R$7:$R$37=AK7)*$S$7:$S$37) + SUMPRODUCT(($U$7:$U$37=AK7)*$V$7:$V$37) + SUMPRODUCT(($X$7:$X$37=AK7)*$Y$7:$Y$37)</f>
        <v>0</v>
      </c>
    </row>
    <row r="8" spans="2:38" x14ac:dyDescent="0.45">
      <c r="B8" s="13">
        <v>2</v>
      </c>
      <c r="C8" s="10" t="str">
        <f>IF(OR(D8=0, D8="", COUNTIF('2'!$G$6:$G$9, D8)=0), "", INDEX('2'!$C$6:$C$9, MATCH(D8, '2'!$G$6:$G$9, 0)))</f>
        <v>Acacia</v>
      </c>
      <c r="D8" s="23">
        <f t="array" ref="D8">LARGE(IF(ISNUMBER('2'!$G$6:$G$9), '2'!$G$6:$G$9), 1)</f>
        <v>49500</v>
      </c>
      <c r="E8" s="8">
        <f t="shared" ref="E8:E37" si="0">IFERROR(D8 / (SUM(D8, G8, J8, M8,P8,S8,V8,Y8)), "")</f>
        <v>0.91697232410803597</v>
      </c>
      <c r="F8" s="10" t="str">
        <f>IF(OR(G8=0, G8="", COUNTIF('2'!$G$6:$G$9, G8)=0), "", INDEX('2'!$C$6:$C$9, MATCH(G8, '2'!$G$6:$G$9, 0)))</f>
        <v/>
      </c>
      <c r="G8" s="24">
        <f t="array" ref="G8">LARGE(IF(ISNUMBER('2'!$G$6:$G$9), '2'!$G$6:$G$9), 2)</f>
        <v>0</v>
      </c>
      <c r="H8" s="9">
        <f t="shared" ref="H8:H37" si="1">IFERROR(G8 / (SUM(D8, G8, J8, M8,P8,S8,V8,Y8)), "")</f>
        <v>0</v>
      </c>
      <c r="I8" s="10" t="str">
        <f>IF(OR(J8=0, J8="", COUNTIF('2'!$G$6:$G$9, J8)=0), "", INDEX('2'!$C$6:$C$9, MATCH(J8, '2'!$G$6:$G$9, 0)))</f>
        <v/>
      </c>
      <c r="J8" s="24">
        <f t="array" ref="J8">LARGE(IF(ISNUMBER('2'!$G$6:$G$9), '2'!$G$6:$G$9), 3)</f>
        <v>0</v>
      </c>
      <c r="K8" s="9">
        <f t="shared" ref="K8:K37" si="2">IFERROR(J8 / (SUM(D8, G8, J8, M8,P8,S8,V8,Y8)), "")</f>
        <v>0</v>
      </c>
      <c r="L8" s="10" t="str">
        <f>IF(OR(M8=0, M8="", COUNTIF('2'!$G$6:$G$9, M8)=0), "", INDEX('2'!$C$6:$C$9, MATCH(M8, '2'!$G$6:$G$9, 0)))</f>
        <v/>
      </c>
      <c r="M8" s="24">
        <f t="array" ref="M8">LARGE(IF(ISNUMBER('2'!$G$6:$G$9), '2'!$G$6:$G$9), 4)</f>
        <v>0</v>
      </c>
      <c r="N8" s="9">
        <f t="shared" ref="N8:N37" si="3">IFERROR(M8 / (SUM(D8, G8, J8, M8,P8,S8,V8,Y8)), "")</f>
        <v>0</v>
      </c>
      <c r="O8" s="10" t="str">
        <f>IF(OR(P8=0, P8="", COUNTIF('2'!$G$11:$G$14, P8)=0), "", INDEX('2'!$C$11:$C$14, MATCH(P8, '2'!$G$11:$G$14, 0)))</f>
        <v>멧자</v>
      </c>
      <c r="P8" s="23">
        <f t="array" ref="P8">LARGE(IF(ISNUMBER('2'!$G$11:$G$14), '2'!$G$11:$G$14), 1)</f>
        <v>4482</v>
      </c>
      <c r="Q8" s="8">
        <f t="shared" ref="Q8:Q37" si="4">IFERROR(P8 / (SUM(D8,G8,J8,M8,P8, S8, V8, Y8)), "")</f>
        <v>8.3027675891963984E-2</v>
      </c>
      <c r="R8" s="10" t="str">
        <f>IF(OR(S8=0, S8="", COUNTIF('2'!$G$11:$G$14, S8)=0), "", INDEX('2'!$C$11:$C$14, MATCH(S8, '2'!$G$11:$G$14, 0)))</f>
        <v/>
      </c>
      <c r="S8" s="24">
        <f t="array" ref="S8">LARGE(IF(ISNUMBER('2'!$G$11:$G$14), '2'!$G$11:$G$14), 2)</f>
        <v>0</v>
      </c>
      <c r="T8" s="9">
        <f t="shared" ref="T8:T38" si="5">IFERROR(S8 / (SUM(D8,G8,J8,P8, S8, V8, Y8)), "")</f>
        <v>0</v>
      </c>
      <c r="U8" s="10" t="str">
        <f>IF(OR(V8=0, V8="", COUNTIF('2'!$G$11:$G$14, V8)=0), "", INDEX('2'!$C$11:$C$14, MATCH(V8, '2'!$G$11:$G$14, 0)))</f>
        <v/>
      </c>
      <c r="V8" s="24">
        <f t="array" ref="V8">LARGE(IF(ISNUMBER('2'!$G$11:$G$14), '2'!$G$11:$G$14), 3)</f>
        <v>0</v>
      </c>
      <c r="W8" s="9">
        <f t="shared" ref="W8:W37" si="6">IFERROR(V8 / (SUM(D8,G8,J8,M8,S8, V8, Y8, P8)), "")</f>
        <v>0</v>
      </c>
      <c r="X8" s="10" t="str">
        <f>IF(OR(Y8=0, Y8="", COUNTIF('2'!$G$11:$G$14, Y8)=0), "", INDEX('2'!$C$11:$C$14, MATCH(Y8, '2'!$G$11:$G$14, 0)))</f>
        <v/>
      </c>
      <c r="Y8" s="24">
        <f t="array" ref="Y8">LARGE(IF(ISNUMBER('2'!$G$11:$G$14), '2'!$G$11:$G$14), 4)</f>
        <v>0</v>
      </c>
      <c r="Z8" s="9">
        <f t="shared" ref="Z8:Z37" si="7">IFERROR(Y8 / (SUM(D8,G8,J8,M8,V8, Y8, P8, S8)), "")</f>
        <v>0</v>
      </c>
      <c r="AA8" s="11">
        <f t="shared" ref="AA8:AA37" si="8">SUM(D8,G8,J8,M8,V8,Y8,P8,S8)</f>
        <v>53982</v>
      </c>
      <c r="AC8" s="29">
        <v>2</v>
      </c>
      <c r="AD8" s="32">
        <f t="shared" ref="AD8:AD37" si="9">SUM(D8,G8,J8,M8)</f>
        <v>49500</v>
      </c>
      <c r="AE8" s="50">
        <f t="shared" ref="AE8:AE37" si="10">IFERROR(AD8/(AD8+AF8),"")</f>
        <v>0.91697232410803597</v>
      </c>
      <c r="AF8" s="32">
        <f t="shared" ref="AF8:AF37" si="11">SUM(P8,S8,V8,Y8)</f>
        <v>4482</v>
      </c>
      <c r="AG8" s="51">
        <f t="shared" ref="AG8:AG37" si="12">IFERROR(AF8/(AF8+AD8),"")</f>
        <v>8.3027675891963984E-2</v>
      </c>
      <c r="AI8" s="29" t="s">
        <v>77</v>
      </c>
      <c r="AJ8" s="39">
        <f t="shared" ref="AJ8:AJ15" si="13">SUMPRODUCT(($C$7:$C$37=AI8)*$D$7:$D$37) + SUMPRODUCT(($F$7:$F$37=AI8)*$G$7:$G$37) + SUMPRODUCT(($I$7:$I$37=AI8)*$J$7:$J$37) + SUMPRODUCT(($L$7:$L$37=AI8)*$M$7:$M$37)</f>
        <v>0</v>
      </c>
      <c r="AK8" s="29" t="s">
        <v>82</v>
      </c>
      <c r="AL8" s="42">
        <f t="shared" ref="AL8:AL15" si="14">SUMPRODUCT(($O$7:$O$37=AK8)*$P$7:$P$37) + SUMPRODUCT(($R$7:$R$37=AK8)*$S$7:$S$37) + SUMPRODUCT(($U$7:$U$37=AK8)*$V$7:$V$37) + SUMPRODUCT(($X$7:$X$37=AK8)*$Y$7:$Y$37)</f>
        <v>0</v>
      </c>
    </row>
    <row r="9" spans="2:38" x14ac:dyDescent="0.45">
      <c r="B9" s="13">
        <v>3</v>
      </c>
      <c r="C9" s="10" t="str">
        <f>IF(OR(D9=0, D9="", COUNTIF('3'!$G$6:$G$9, D9)=0), "", INDEX('3'!$C$6:$C$9, MATCH(D9, '3'!$G$6:$G$9, 0)))</f>
        <v>Acacia</v>
      </c>
      <c r="D9" s="23">
        <f t="array" ref="D9">LARGE(IF(ISNUMBER('3'!$G$6:$G$9), '3'!$G$6:$G$9), 1)</f>
        <v>49500</v>
      </c>
      <c r="E9" s="8">
        <f t="shared" si="0"/>
        <v>0.91697232410803597</v>
      </c>
      <c r="F9" s="10" t="str">
        <f>IF(OR(G9=0, G9="", COUNTIF('3'!$G$6:$G$9, G9)=0), "", INDEX('3'!$C$6:$C$9, MATCH(G9, '3'!$G$6:$G$9, 0)))</f>
        <v/>
      </c>
      <c r="G9" s="24">
        <f t="array" ref="G9">LARGE(IF(ISNUMBER('3'!$G$6:$G$9), '3'!$G$6:$G$9), 2)</f>
        <v>0</v>
      </c>
      <c r="H9" s="9">
        <f t="shared" si="1"/>
        <v>0</v>
      </c>
      <c r="I9" s="10" t="str">
        <f>IF(OR(J9=0, J9="", COUNTIF('3'!$G$6:$G$9, J9)=0), "", INDEX('3'!$C$6:$C$9, MATCH(J9, '3'!$G$6:$G$9, 0)))</f>
        <v/>
      </c>
      <c r="J9" s="24">
        <f t="array" ref="J9">LARGE(IF(ISNUMBER('3'!$G$6:$G$9), '3'!$G$6:$G$9), 3)</f>
        <v>0</v>
      </c>
      <c r="K9" s="9">
        <f t="shared" si="2"/>
        <v>0</v>
      </c>
      <c r="L9" s="10" t="str">
        <f>IF(OR(M9=0, M9="", COUNTIF('3'!$G$6:$G$9, M9)=0), "", INDEX('3'!$C$6:$C$9, MATCH(M9, '3'!$G$6:$G$9, 0)))</f>
        <v/>
      </c>
      <c r="M9" s="24">
        <f t="array" ref="M9">LARGE(IF(ISNUMBER('3'!$G$6:$G$9), '3'!$G$6:$G$9), 4)</f>
        <v>0</v>
      </c>
      <c r="N9" s="9">
        <f t="shared" si="3"/>
        <v>0</v>
      </c>
      <c r="O9" s="10" t="str">
        <f>IF(OR(P9=0, P9="", COUNTIF('3'!$G$11:$G$14, P9)=0), "", INDEX('3'!$C$11:$C$14, MATCH(P9, '3'!$G$11:$G$14, 0)))</f>
        <v>멧자</v>
      </c>
      <c r="P9" s="23">
        <f t="array" ref="P9">LARGE(IF(ISNUMBER('3'!$G$11:$G$14), '3'!$G$11:$G$14), 1)</f>
        <v>4482</v>
      </c>
      <c r="Q9" s="8">
        <f t="shared" si="4"/>
        <v>8.3027675891963984E-2</v>
      </c>
      <c r="R9" s="10" t="str">
        <f>IF(OR(S9=0, S9="", COUNTIF('3'!$G$11:$G$14, S9)=0), "", INDEX('3'!$C$11:$C$14, MATCH(S9, '3'!$G$11:$G$14, 0)))</f>
        <v/>
      </c>
      <c r="S9" s="24">
        <f t="array" ref="S9">LARGE(IF(ISNUMBER('3'!$G$11:$G$14), '3'!$G$11:$G$14), 2)</f>
        <v>0</v>
      </c>
      <c r="T9" s="9">
        <f t="shared" si="5"/>
        <v>0</v>
      </c>
      <c r="U9" s="10" t="str">
        <f>IF(OR(V9=0, V9="", COUNTIF('3'!$G$11:$G$14, V9)=0), "", INDEX('3'!$C$11:$C$14, MATCH(V9, '3'!$G$11:$G$14, 0)))</f>
        <v/>
      </c>
      <c r="V9" s="24">
        <f t="array" ref="V9">LARGE(IF(ISNUMBER('3'!$G$11:$G$14), '3'!$G$11:$G$14), 3)</f>
        <v>0</v>
      </c>
      <c r="W9" s="9">
        <f t="shared" si="6"/>
        <v>0</v>
      </c>
      <c r="X9" s="10" t="str">
        <f>IF(OR(Y9=0, Y9="", COUNTIF('3'!$G$11:$G$14, Y9)=0), "", INDEX('3'!$C$11:$C$14, MATCH(Y9, '3'!$G$11:$G$14, 0)))</f>
        <v/>
      </c>
      <c r="Y9" s="24">
        <f t="array" ref="Y9">LARGE(IF(ISNUMBER('3'!$G$11:$G$14), '3'!$G$11:$G$14), 4)</f>
        <v>0</v>
      </c>
      <c r="Z9" s="9">
        <f t="shared" si="7"/>
        <v>0</v>
      </c>
      <c r="AA9" s="11">
        <f t="shared" si="8"/>
        <v>53982</v>
      </c>
      <c r="AC9" s="29">
        <v>3</v>
      </c>
      <c r="AD9" s="32">
        <f t="shared" si="9"/>
        <v>49500</v>
      </c>
      <c r="AE9" s="50">
        <f t="shared" si="10"/>
        <v>0.91697232410803597</v>
      </c>
      <c r="AF9" s="32">
        <f t="shared" si="11"/>
        <v>4482</v>
      </c>
      <c r="AG9" s="51">
        <f t="shared" si="12"/>
        <v>8.3027675891963984E-2</v>
      </c>
      <c r="AI9" s="29" t="s">
        <v>78</v>
      </c>
      <c r="AJ9" s="39">
        <f t="shared" si="13"/>
        <v>0</v>
      </c>
      <c r="AK9" s="29" t="s">
        <v>83</v>
      </c>
      <c r="AL9" s="42">
        <f t="shared" si="14"/>
        <v>208164</v>
      </c>
    </row>
    <row r="10" spans="2:38" x14ac:dyDescent="0.45">
      <c r="B10" s="13">
        <v>4</v>
      </c>
      <c r="C10" s="10" t="str">
        <f>IF(OR(D10=0, D10="", COUNTIF('4'!$G$6:$G$9, D10)=0), "", INDEX('4'!$C$6:$C$9, MATCH(D10, '4'!$G$6:$G$9, 0)))</f>
        <v>Acacia</v>
      </c>
      <c r="D10" s="23">
        <f t="array" ref="D10">LARGE(IF(ISNUMBER('4'!$G$6:$G$9), '4'!$G$6:$G$9), 1)</f>
        <v>33750</v>
      </c>
      <c r="E10" s="8">
        <f t="shared" si="0"/>
        <v>0.91248276421445373</v>
      </c>
      <c r="F10" s="10" t="str">
        <f>IF(OR(G10=0, G10="", COUNTIF('4'!$G$6:$G$9, G10)=0), "", INDEX('4'!$C$6:$C$9, MATCH(G10, '4'!$G$6:$G$9, 0)))</f>
        <v/>
      </c>
      <c r="G10" s="24">
        <f t="array" ref="G10">LARGE(IF(ISNUMBER('4'!$G$6:$G$9), '4'!$G$6:$G$9), 2)</f>
        <v>0</v>
      </c>
      <c r="H10" s="9">
        <f t="shared" si="1"/>
        <v>0</v>
      </c>
      <c r="I10" s="10" t="str">
        <f>IF(OR(J10=0, J10="", COUNTIF('4'!$G$6:$G$9, J10)=0), "", INDEX('4'!$C$6:$C$9, MATCH(J10, '4'!$G$6:$G$9, 0)))</f>
        <v/>
      </c>
      <c r="J10" s="24">
        <f t="array" ref="J10">LARGE(IF(ISNUMBER('4'!$G$6:$G$9), '4'!$G$6:$G$9), 3)</f>
        <v>0</v>
      </c>
      <c r="K10" s="9">
        <f t="shared" si="2"/>
        <v>0</v>
      </c>
      <c r="L10" s="10" t="str">
        <f>IF(OR(M10=0, M10="", COUNTIF('4'!$G$6:$G$9, M10)=0), "", INDEX('4'!$C$6:$C$9, MATCH(M10, '4'!$G$6:$G$9, 0)))</f>
        <v/>
      </c>
      <c r="M10" s="24">
        <f t="array" ref="M10">LARGE(IF(ISNUMBER('4'!$G$6:$G$9), '4'!$G$6:$G$9), 4)</f>
        <v>0</v>
      </c>
      <c r="N10" s="9">
        <f t="shared" si="3"/>
        <v>0</v>
      </c>
      <c r="O10" s="10" t="str">
        <f>IF(OR(P10=0, P10="", COUNTIF('4'!$G$11:$G$14, P10)=0), "", INDEX('4'!$C$11:$C$14, MATCH(P10, '4'!$G$11:$G$14, 0)))</f>
        <v>멧자</v>
      </c>
      <c r="P10" s="23">
        <f t="array" ref="P10">LARGE(IF(ISNUMBER('4'!$G$11:$G$14), '4'!$G$11:$G$14), 1)</f>
        <v>3237</v>
      </c>
      <c r="Q10" s="8">
        <f t="shared" si="4"/>
        <v>8.751723578554628E-2</v>
      </c>
      <c r="R10" s="10" t="str">
        <f>IF(OR(S10=0, S10="", COUNTIF('4'!$G$11:$G$14, S10)=0), "", INDEX('4'!$C$11:$C$14, MATCH(S10, '4'!$G$11:$G$14, 0)))</f>
        <v/>
      </c>
      <c r="S10" s="24">
        <f t="array" ref="S10">LARGE(IF(ISNUMBER('4'!$G$11:$G$14), '4'!$G$11:$G$14), 2)</f>
        <v>0</v>
      </c>
      <c r="T10" s="9">
        <f t="shared" si="5"/>
        <v>0</v>
      </c>
      <c r="U10" s="10" t="str">
        <f>IF(OR(V10=0, V10="", COUNTIF('4'!$G$11:$G$14, V10)=0), "", INDEX('4'!$C$11:$C$14, MATCH(V10, '4'!$G$11:$G$14, 0)))</f>
        <v/>
      </c>
      <c r="V10" s="24">
        <f t="array" ref="V10">LARGE(IF(ISNUMBER('4'!$G$11:$G$14), '4'!$G$11:$G$14), 3)</f>
        <v>0</v>
      </c>
      <c r="W10" s="9">
        <f t="shared" si="6"/>
        <v>0</v>
      </c>
      <c r="X10" s="10" t="str">
        <f>IF(OR(Y10=0, Y10="", COUNTIF('4'!$G$11:$G$14, Y10)=0), "", INDEX('4'!$C$11:$C$14, MATCH(Y10, '4'!$G$11:$G$14, 0)))</f>
        <v/>
      </c>
      <c r="Y10" s="24">
        <f t="array" ref="Y10">LARGE(IF(ISNUMBER('4'!$G$11:$G$14), '4'!$G$11:$G$14), 4)</f>
        <v>0</v>
      </c>
      <c r="Z10" s="9">
        <f t="shared" si="7"/>
        <v>0</v>
      </c>
      <c r="AA10" s="11">
        <f t="shared" si="8"/>
        <v>36987</v>
      </c>
      <c r="AC10" s="29">
        <v>4</v>
      </c>
      <c r="AD10" s="32">
        <f t="shared" si="9"/>
        <v>33750</v>
      </c>
      <c r="AE10" s="50">
        <f t="shared" si="10"/>
        <v>0.91248276421445373</v>
      </c>
      <c r="AF10" s="32">
        <f t="shared" si="11"/>
        <v>3237</v>
      </c>
      <c r="AG10" s="51">
        <f t="shared" si="12"/>
        <v>8.751723578554628E-2</v>
      </c>
      <c r="AI10" s="29" t="s">
        <v>79</v>
      </c>
      <c r="AJ10" s="39">
        <f t="shared" si="13"/>
        <v>0</v>
      </c>
      <c r="AK10" s="29" t="s">
        <v>84</v>
      </c>
      <c r="AL10" s="42">
        <f t="shared" si="14"/>
        <v>0</v>
      </c>
    </row>
    <row r="11" spans="2:38" x14ac:dyDescent="0.45">
      <c r="B11" s="13">
        <v>5</v>
      </c>
      <c r="C11" s="10" t="str">
        <f>IF(OR(D11=0, D11="", COUNTIF('5'!$G$6:$G$9, D11)=0), "", INDEX('5'!$C$6:$C$9, MATCH(D11, '5'!$G$6:$G$9, 0)))</f>
        <v/>
      </c>
      <c r="D11" s="23">
        <f t="array" ref="D11">LARGE(IF(ISNUMBER('5'!$G$6:$G$9), '5'!$G$6:$G$9), 1)</f>
        <v>0</v>
      </c>
      <c r="E11" s="8" t="str">
        <f t="shared" si="0"/>
        <v/>
      </c>
      <c r="F11" s="10" t="str">
        <f>IF(OR(G11=0, G11="", COUNTIF('5'!$G$6:$G$9, G11)=0), "", INDEX('5'!$C$6:$C$9, MATCH(G11, '5'!$G$6:$G$9, 0)))</f>
        <v/>
      </c>
      <c r="G11" s="24">
        <f t="array" ref="G11">LARGE(IF(ISNUMBER('5'!$G$6:$G$9), '5'!$G$6:$G$9), 2)</f>
        <v>0</v>
      </c>
      <c r="H11" s="9" t="str">
        <f t="shared" si="1"/>
        <v/>
      </c>
      <c r="I11" s="10" t="str">
        <f>IF(OR(J11=0, J11="", COUNTIF('5'!$G$6:$G$9, J11)=0), "", INDEX('5'!$C$6:$C$9, MATCH(J11, '5'!$G$6:$G$9, 0)))</f>
        <v/>
      </c>
      <c r="J11" s="24">
        <f t="array" ref="J11">LARGE(IF(ISNUMBER('5'!$G$6:$G$9), '5'!$G$6:$G$9), 3)</f>
        <v>0</v>
      </c>
      <c r="K11" s="9" t="str">
        <f t="shared" si="2"/>
        <v/>
      </c>
      <c r="L11" s="10" t="str">
        <f>IF(OR(M11=0, M11="", COUNTIF('5'!$G$6:$G$9, M11)=0), "", INDEX('5'!$C$6:$C$9, MATCH(M11, '5'!$G$6:$G$9, 0)))</f>
        <v/>
      </c>
      <c r="M11" s="24">
        <f t="array" ref="M11">LARGE(IF(ISNUMBER('5'!$G$6:$G$9), '5'!$G$6:$G$9), 4)</f>
        <v>0</v>
      </c>
      <c r="N11" s="9" t="str">
        <f t="shared" si="3"/>
        <v/>
      </c>
      <c r="O11" s="10" t="str">
        <f>IF(OR(P11=0, P11="", COUNTIF('5'!$G$11:$G$14, P11)=0), "", INDEX('5'!$C$11:$C$14, MATCH(P11, '5'!$G$11:$G$14, 0)))</f>
        <v/>
      </c>
      <c r="P11" s="23">
        <f t="array" ref="P11">LARGE(IF(ISNUMBER('5'!$G$11:$G$14), '5'!$G$11:$G$14), 1)</f>
        <v>0</v>
      </c>
      <c r="Q11" s="8" t="str">
        <f t="shared" si="4"/>
        <v/>
      </c>
      <c r="R11" s="10" t="str">
        <f>IF(OR(S11=0, S11="", COUNTIF('5'!$G$11:$G$14, S11)=0), "", INDEX('5'!$C$11:$C$14, MATCH(S11, '5'!$G$11:$G$14, 0)))</f>
        <v/>
      </c>
      <c r="S11" s="24">
        <f t="array" ref="S11">LARGE(IF(ISNUMBER('5'!$G$11:$G$14), '5'!$G$11:$G$14), 2)</f>
        <v>0</v>
      </c>
      <c r="T11" s="9" t="str">
        <f t="shared" si="5"/>
        <v/>
      </c>
      <c r="U11" s="10" t="str">
        <f>IF(OR(V11=0, V11="", COUNTIF('5'!$G$11:$G$14, V11)=0), "", INDEX('5'!$C$11:$C$14, MATCH(V11, '5'!$G$11:$G$14, 0)))</f>
        <v/>
      </c>
      <c r="V11" s="24">
        <f t="array" ref="V11">LARGE(IF(ISNUMBER('5'!$G$11:$G$14), '5'!$G$11:$G$14), 3)</f>
        <v>0</v>
      </c>
      <c r="W11" s="9" t="str">
        <f t="shared" si="6"/>
        <v/>
      </c>
      <c r="X11" s="10" t="str">
        <f>IF(OR(Y11=0, Y11="", COUNTIF('5'!$G$11:$G$14, Y11)=0), "", INDEX('5'!$C$11:$C$14, MATCH(Y11, '5'!$G$11:$G$14, 0)))</f>
        <v/>
      </c>
      <c r="Y11" s="24">
        <f t="array" ref="Y11">LARGE(IF(ISNUMBER('5'!$G$11:$G$14), '5'!$G$11:$G$14), 4)</f>
        <v>0</v>
      </c>
      <c r="Z11" s="9" t="str">
        <f t="shared" si="7"/>
        <v/>
      </c>
      <c r="AA11" s="11">
        <f t="shared" si="8"/>
        <v>0</v>
      </c>
      <c r="AC11" s="29">
        <v>5</v>
      </c>
      <c r="AD11" s="32">
        <f t="shared" si="9"/>
        <v>0</v>
      </c>
      <c r="AE11" s="50" t="str">
        <f t="shared" si="10"/>
        <v/>
      </c>
      <c r="AF11" s="32">
        <f t="shared" si="11"/>
        <v>0</v>
      </c>
      <c r="AG11" s="51" t="str">
        <f t="shared" si="12"/>
        <v/>
      </c>
      <c r="AI11" s="29" t="s">
        <v>90</v>
      </c>
      <c r="AJ11" s="39">
        <f t="shared" si="13"/>
        <v>0</v>
      </c>
      <c r="AK11" s="29" t="s">
        <v>85</v>
      </c>
      <c r="AL11" s="42">
        <f t="shared" si="14"/>
        <v>0</v>
      </c>
    </row>
    <row r="12" spans="2:38" x14ac:dyDescent="0.45">
      <c r="B12" s="13">
        <v>6</v>
      </c>
      <c r="C12" s="10" t="str">
        <f>IF(OR(D12=0, D12="", COUNTIF('6'!$G$6:$G$9, D12)=0), "", INDEX('6'!$C$6:$C$9, MATCH(D12, '6'!$G$6:$G$9, 0)))</f>
        <v/>
      </c>
      <c r="D12" s="23">
        <f t="array" ref="D12">LARGE(IF(ISNUMBER('6'!$G$6:$G$9), '6'!$G$6:$G$9), 1)</f>
        <v>0</v>
      </c>
      <c r="E12" s="8" t="str">
        <f t="shared" si="0"/>
        <v/>
      </c>
      <c r="F12" s="10" t="str">
        <f>IF(OR(G12=0, G12="", COUNTIF('6'!$G$6:$G$9, G12)=0), "", INDEX('6'!$C$6:$C$9, MATCH(G12, '6'!$G$6:$G$9, 0)))</f>
        <v/>
      </c>
      <c r="G12" s="24">
        <f t="array" ref="G12">LARGE(IF(ISNUMBER('6'!$G$6:$G$9), '6'!$G$6:$G$9), 2)</f>
        <v>0</v>
      </c>
      <c r="H12" s="9" t="str">
        <f t="shared" si="1"/>
        <v/>
      </c>
      <c r="I12" s="10" t="str">
        <f>IF(OR(J12=0, J12="", COUNTIF('6'!$G$6:$G$9, J12)=0), "", INDEX('6'!$C$6:$C$9, MATCH(J12, '6'!$G$6:$G$9, 0)))</f>
        <v/>
      </c>
      <c r="J12" s="24">
        <f t="array" ref="J12">LARGE(IF(ISNUMBER('6'!$G$6:$G$9), '6'!$G$6:$G$9), 3)</f>
        <v>0</v>
      </c>
      <c r="K12" s="9" t="str">
        <f t="shared" si="2"/>
        <v/>
      </c>
      <c r="L12" s="10" t="str">
        <f>IF(OR(M12=0, M12="", COUNTIF('6'!$G$6:$G$9, M12)=0), "", INDEX('6'!$C$6:$C$9, MATCH(M12, '6'!$G$6:$G$9, 0)))</f>
        <v/>
      </c>
      <c r="M12" s="24">
        <f t="array" ref="M12">LARGE(IF(ISNUMBER('6'!$G$6:$G$9), '6'!$G$6:$G$9), 4)</f>
        <v>0</v>
      </c>
      <c r="N12" s="9" t="str">
        <f t="shared" si="3"/>
        <v/>
      </c>
      <c r="O12" s="10" t="str">
        <f>IF(OR(P12=0, P12="", COUNTIF('6'!$G$11:$G$14, P12)=0), "", INDEX('6'!$C$11:$C$14, MATCH(P12, '6'!$G$11:$G$14, 0)))</f>
        <v/>
      </c>
      <c r="P12" s="23">
        <f t="array" ref="P12">LARGE(IF(ISNUMBER('6'!$G$11:$G$14), '6'!$G$11:$G$14), 1)</f>
        <v>0</v>
      </c>
      <c r="Q12" s="8" t="str">
        <f t="shared" si="4"/>
        <v/>
      </c>
      <c r="R12" s="10" t="str">
        <f>IF(OR(S12=0, S12="", COUNTIF('6'!$G$11:$G$14, S12)=0), "", INDEX('6'!$C$11:$C$14, MATCH(S12, '6'!$G$11:$G$14, 0)))</f>
        <v/>
      </c>
      <c r="S12" s="24">
        <f t="array" ref="S12">LARGE(IF(ISNUMBER('6'!$G$11:$G$14), '6'!$G$11:$G$14), 2)</f>
        <v>0</v>
      </c>
      <c r="T12" s="9" t="str">
        <f t="shared" si="5"/>
        <v/>
      </c>
      <c r="U12" s="10" t="str">
        <f>IF(OR(V12=0, V12="", COUNTIF('6'!$G$11:$G$14, V12)=0), "", INDEX('6'!$C$11:$C$14, MATCH(V12, '6'!$G$11:$G$14, 0)))</f>
        <v/>
      </c>
      <c r="V12" s="24">
        <f t="array" ref="V12">LARGE(IF(ISNUMBER('6'!$G$11:$G$14), '6'!$G$11:$G$14), 3)</f>
        <v>0</v>
      </c>
      <c r="W12" s="9" t="str">
        <f t="shared" si="6"/>
        <v/>
      </c>
      <c r="X12" s="10" t="str">
        <f>IF(OR(Y12=0, Y12="", COUNTIF('6'!$G$11:$G$14, Y12)=0), "", INDEX('6'!$C$11:$C$14, MATCH(Y12, '6'!$G$11:$G$14, 0)))</f>
        <v/>
      </c>
      <c r="Y12" s="24">
        <f t="array" ref="Y12">LARGE(IF(ISNUMBER('6'!$G$11:$G$14), '6'!$G$11:$G$14), 4)</f>
        <v>0</v>
      </c>
      <c r="Z12" s="9" t="str">
        <f t="shared" si="7"/>
        <v/>
      </c>
      <c r="AA12" s="11">
        <f t="shared" si="8"/>
        <v>0</v>
      </c>
      <c r="AC12" s="29">
        <v>6</v>
      </c>
      <c r="AD12" s="32">
        <f t="shared" si="9"/>
        <v>0</v>
      </c>
      <c r="AE12" s="50" t="str">
        <f t="shared" si="10"/>
        <v/>
      </c>
      <c r="AF12" s="32">
        <f t="shared" si="11"/>
        <v>0</v>
      </c>
      <c r="AG12" s="51" t="str">
        <f t="shared" si="12"/>
        <v/>
      </c>
      <c r="AI12" s="47" t="s">
        <v>104</v>
      </c>
      <c r="AJ12" s="39">
        <f t="shared" si="13"/>
        <v>0</v>
      </c>
      <c r="AK12" s="38" t="s">
        <v>86</v>
      </c>
      <c r="AL12" s="42">
        <f t="shared" si="14"/>
        <v>0</v>
      </c>
    </row>
    <row r="13" spans="2:38" x14ac:dyDescent="0.45">
      <c r="B13" s="13">
        <v>7</v>
      </c>
      <c r="C13" s="10" t="str">
        <f>IF(OR(D13=0, D13="", COUNTIF('7'!$G$6:$G$9, D13)=0), "", INDEX('7'!$C$6:$C$9, MATCH(D13, '7'!$G$6:$G$9, 0)))</f>
        <v/>
      </c>
      <c r="D13" s="23">
        <f t="array" ref="D13">LARGE(IF(ISNUMBER('7'!$G$6:$G$9), '7'!$G$6:$G$9), 1)</f>
        <v>0</v>
      </c>
      <c r="E13" s="8" t="str">
        <f t="shared" si="0"/>
        <v/>
      </c>
      <c r="F13" s="10" t="str">
        <f>IF(OR(G13=0, G13="", COUNTIF('7'!$G$6:$G$9, G13)=0), "", INDEX('7'!$C$6:$C$9, MATCH(G13, '7'!$G$6:$G$9, 0)))</f>
        <v/>
      </c>
      <c r="G13" s="24">
        <f t="array" ref="G13">LARGE(IF(ISNUMBER('7'!$G$6:$G$9), '7'!$G$6:$G$9), 2)</f>
        <v>0</v>
      </c>
      <c r="H13" s="9" t="str">
        <f t="shared" si="1"/>
        <v/>
      </c>
      <c r="I13" s="10" t="str">
        <f>IF(OR(J13=0, J13="", COUNTIF('7'!$G$6:$G$9, J13)=0), "", INDEX('7'!$C$6:$C$9, MATCH(J13, '7'!$G$6:$G$9, 0)))</f>
        <v/>
      </c>
      <c r="J13" s="24">
        <f t="array" ref="J13">LARGE(IF(ISNUMBER('7'!$G$6:$G$9), '7'!$G$6:$G$9), 3)</f>
        <v>0</v>
      </c>
      <c r="K13" s="9" t="str">
        <f t="shared" si="2"/>
        <v/>
      </c>
      <c r="L13" s="10" t="str">
        <f>IF(OR(M13=0, M13="", COUNTIF('7'!$G$6:$G$9, M13)=0), "", INDEX('7'!$C$6:$C$9, MATCH(M13, '7'!$G$6:$G$9, 0)))</f>
        <v/>
      </c>
      <c r="M13" s="24">
        <f t="array" ref="M13">LARGE(IF(ISNUMBER('7'!$G$6:$G$9), '7'!$G$6:$G$9), 4)</f>
        <v>0</v>
      </c>
      <c r="N13" s="9" t="str">
        <f t="shared" si="3"/>
        <v/>
      </c>
      <c r="O13" s="10" t="str">
        <f>IF(OR(P13=0, P13="", COUNTIF('7'!$G$11:$G$14, P13)=0), "", INDEX('7'!$C$11:$C$14, MATCH(P13, '7'!$G$11:$G$14, 0)))</f>
        <v/>
      </c>
      <c r="P13" s="23">
        <f t="array" ref="P13">LARGE(IF(ISNUMBER('7'!$G$11:$G$14), '7'!$G$11:$G$14), 1)</f>
        <v>0</v>
      </c>
      <c r="Q13" s="8" t="str">
        <f t="shared" si="4"/>
        <v/>
      </c>
      <c r="R13" s="10" t="str">
        <f>IF(OR(S13=0, S13="", COUNTIF('7'!$G$11:$G$14, S13)=0), "", INDEX('7'!$C$11:$C$14, MATCH(S13, '7'!$G$11:$G$14, 0)))</f>
        <v/>
      </c>
      <c r="S13" s="24">
        <f t="array" ref="S13">LARGE(IF(ISNUMBER('7'!$G$11:$G$14), '7'!$G$11:$G$14), 2)</f>
        <v>0</v>
      </c>
      <c r="T13" s="9" t="str">
        <f t="shared" si="5"/>
        <v/>
      </c>
      <c r="U13" s="10" t="str">
        <f>IF(OR(V13=0, V13="", COUNTIF('7'!$G$11:$G$14, V13)=0), "", INDEX('7'!$C$11:$C$14, MATCH(V13, '7'!$G$11:$G$14, 0)))</f>
        <v/>
      </c>
      <c r="V13" s="24">
        <f t="array" ref="V13">LARGE(IF(ISNUMBER('7'!$G$11:$G$14), '7'!$G$11:$G$14), 3)</f>
        <v>0</v>
      </c>
      <c r="W13" s="9" t="str">
        <f t="shared" si="6"/>
        <v/>
      </c>
      <c r="X13" s="10" t="str">
        <f>IF(OR(Y13=0, Y13="", COUNTIF('7'!$G$11:$G$14, Y13)=0), "", INDEX('7'!$C$11:$C$14, MATCH(Y13, '7'!$G$11:$G$14, 0)))</f>
        <v/>
      </c>
      <c r="Y13" s="24">
        <f t="array" ref="Y13">LARGE(IF(ISNUMBER('7'!$G$11:$G$14), '7'!$G$11:$G$14), 4)</f>
        <v>0</v>
      </c>
      <c r="Z13" s="9" t="str">
        <f t="shared" si="7"/>
        <v/>
      </c>
      <c r="AA13" s="11">
        <f t="shared" si="8"/>
        <v>0</v>
      </c>
      <c r="AC13" s="29">
        <v>7</v>
      </c>
      <c r="AD13" s="32">
        <f t="shared" si="9"/>
        <v>0</v>
      </c>
      <c r="AE13" s="50" t="str">
        <f t="shared" si="10"/>
        <v/>
      </c>
      <c r="AF13" s="32">
        <f t="shared" si="11"/>
        <v>0</v>
      </c>
      <c r="AG13" s="51" t="str">
        <f t="shared" si="12"/>
        <v/>
      </c>
      <c r="AI13" s="47" t="s">
        <v>80</v>
      </c>
      <c r="AJ13" s="39">
        <f t="shared" si="13"/>
        <v>0</v>
      </c>
      <c r="AK13" s="38" t="s">
        <v>105</v>
      </c>
      <c r="AL13" s="42">
        <f t="shared" si="14"/>
        <v>0</v>
      </c>
    </row>
    <row r="14" spans="2:38" x14ac:dyDescent="0.45">
      <c r="B14" s="13">
        <v>8</v>
      </c>
      <c r="C14" s="10" t="str">
        <f>IF(OR(D14=0, D14="", COUNTIF('8'!$G$6:$G$9, D14)=0), "", INDEX('8'!$C$6:$C$9, MATCH(D14, '8'!$G$6:$G$9, 0)))</f>
        <v/>
      </c>
      <c r="D14" s="23">
        <f t="array" ref="D14">LARGE(IF(ISNUMBER('8'!$G$6:$G$9), '8'!$G$6:$G$9), 1)</f>
        <v>0</v>
      </c>
      <c r="E14" s="8" t="str">
        <f t="shared" si="0"/>
        <v/>
      </c>
      <c r="F14" s="10" t="str">
        <f>IF(OR(G14=0, G14="", COUNTIF('8'!$G$6:$G$9, G14)=0), "", INDEX('8'!$C$6:$C$9, MATCH(G14, '8'!$G$6:$G$9, 0)))</f>
        <v/>
      </c>
      <c r="G14" s="24">
        <f t="array" ref="G14">LARGE(IF(ISNUMBER('8'!$G$6:$G$9), '8'!$G$6:$G$9), 2)</f>
        <v>0</v>
      </c>
      <c r="H14" s="9" t="str">
        <f t="shared" si="1"/>
        <v/>
      </c>
      <c r="I14" s="10" t="str">
        <f>IF(OR(J14=0, J14="", COUNTIF('8'!$G$6:$G$9, J14)=0), "", INDEX('8'!$C$6:$C$9, MATCH(J14, '8'!$G$6:$G$9, 0)))</f>
        <v/>
      </c>
      <c r="J14" s="24">
        <f t="array" ref="J14">LARGE(IF(ISNUMBER('8'!$G$6:$G$9), '8'!$G$6:$G$9), 3)</f>
        <v>0</v>
      </c>
      <c r="K14" s="9" t="str">
        <f t="shared" si="2"/>
        <v/>
      </c>
      <c r="L14" s="10" t="str">
        <f>IF(OR(M14=0, M14="", COUNTIF('8'!$G$6:$G$9, M14)=0), "", INDEX('8'!$C$6:$C$9, MATCH(M14, '8'!$G$6:$G$9, 0)))</f>
        <v/>
      </c>
      <c r="M14" s="24">
        <f t="array" ref="M14">LARGE(IF(ISNUMBER('8'!$G$6:$G$9), '8'!$G$6:$G$9), 4)</f>
        <v>0</v>
      </c>
      <c r="N14" s="9" t="str">
        <f t="shared" si="3"/>
        <v/>
      </c>
      <c r="O14" s="10" t="str">
        <f>IF(OR(P14=0, P14="", COUNTIF('8'!$G$11:$G$14, P14)=0), "", INDEX('8'!$C$11:$C$14, MATCH(P14, '8'!$G$11:$G$14, 0)))</f>
        <v/>
      </c>
      <c r="P14" s="23">
        <f t="array" ref="P14">LARGE(IF(ISNUMBER('8'!$G$11:$G$14), '8'!$G$11:$G$14), 1)</f>
        <v>0</v>
      </c>
      <c r="Q14" s="8" t="str">
        <f t="shared" si="4"/>
        <v/>
      </c>
      <c r="R14" s="10" t="str">
        <f>IF(OR(S14=0, S14="", COUNTIF('8'!$G$11:$G$14, S14)=0), "", INDEX('8'!$C$11:$C$14, MATCH(S14, '8'!$G$11:$G$14, 0)))</f>
        <v/>
      </c>
      <c r="S14" s="24">
        <f t="array" ref="S14">LARGE(IF(ISNUMBER('8'!$G$11:$G$14), '8'!$G$11:$G$14), 2)</f>
        <v>0</v>
      </c>
      <c r="T14" s="9" t="str">
        <f t="shared" si="5"/>
        <v/>
      </c>
      <c r="U14" s="10" t="str">
        <f>IF(OR(V14=0, V14="", COUNTIF('8'!$G$11:$G$14, V14)=0), "", INDEX('8'!$C$11:$C$14, MATCH(V14, '8'!$G$11:$G$14, 0)))</f>
        <v/>
      </c>
      <c r="V14" s="24">
        <f t="array" ref="V14">LARGE(IF(ISNUMBER('8'!$G$11:$G$14), '8'!$G$11:$G$14), 3)</f>
        <v>0</v>
      </c>
      <c r="W14" s="9" t="str">
        <f t="shared" si="6"/>
        <v/>
      </c>
      <c r="X14" s="10" t="str">
        <f>IF(OR(Y14=0, Y14="", COUNTIF('8'!$G$11:$G$14, Y14)=0), "", INDEX('8'!$C$11:$C$14, MATCH(Y14, '8'!$G$11:$G$14, 0)))</f>
        <v/>
      </c>
      <c r="Y14" s="24">
        <f t="array" ref="Y14">LARGE(IF(ISNUMBER('8'!$G$11:$G$14), '8'!$G$11:$G$14), 4)</f>
        <v>0</v>
      </c>
      <c r="Z14" s="9" t="str">
        <f t="shared" si="7"/>
        <v/>
      </c>
      <c r="AA14" s="11">
        <f t="shared" si="8"/>
        <v>0</v>
      </c>
      <c r="AC14" s="29">
        <v>8</v>
      </c>
      <c r="AD14" s="32">
        <f t="shared" si="9"/>
        <v>0</v>
      </c>
      <c r="AE14" s="50" t="str">
        <f t="shared" si="10"/>
        <v/>
      </c>
      <c r="AF14" s="32">
        <f t="shared" si="11"/>
        <v>0</v>
      </c>
      <c r="AG14" s="51" t="str">
        <f t="shared" si="12"/>
        <v/>
      </c>
      <c r="AI14" s="47"/>
      <c r="AJ14" s="39">
        <f t="shared" si="13"/>
        <v>0</v>
      </c>
      <c r="AK14" s="38" t="s">
        <v>106</v>
      </c>
      <c r="AL14" s="42">
        <f t="shared" si="14"/>
        <v>0</v>
      </c>
    </row>
    <row r="15" spans="2:38" x14ac:dyDescent="0.45">
      <c r="B15" s="13">
        <v>9</v>
      </c>
      <c r="C15" s="10" t="str">
        <f>IF(OR(D15=0, D15="", COUNTIF('9'!$G$6:$G$9, D15)=0), "", INDEX('9'!$C$6:$C$9, MATCH(D15, '9'!$G$6:$G$9, 0)))</f>
        <v>Acacia</v>
      </c>
      <c r="D15" s="23">
        <f t="array" ref="D15">LARGE(IF(ISNUMBER('9'!$G$6:$G$9), '9'!$G$6:$G$9), 1)</f>
        <v>29500</v>
      </c>
      <c r="E15" s="8">
        <f t="shared" si="0"/>
        <v>0.88761847449977438</v>
      </c>
      <c r="F15" s="10" t="str">
        <f>IF(OR(G15=0, G15="", COUNTIF('9'!$G$6:$G$9, G15)=0), "", INDEX('9'!$C$6:$C$9, MATCH(G15, '9'!$G$6:$G$9, 0)))</f>
        <v/>
      </c>
      <c r="G15" s="24">
        <f t="array" ref="G15">LARGE(IF(ISNUMBER('9'!$G$6:$G$9), '9'!$G$6:$G$9), 2)</f>
        <v>0</v>
      </c>
      <c r="H15" s="9">
        <f t="shared" si="1"/>
        <v>0</v>
      </c>
      <c r="I15" s="10" t="str">
        <f>IF(OR(J15=0, J15="", COUNTIF('9'!$G$6:$G$9, J15)=0), "", INDEX('9'!$C$6:$C$9, MATCH(J15, '9'!$G$6:$G$9, 0)))</f>
        <v/>
      </c>
      <c r="J15" s="24">
        <f t="array" ref="J15">LARGE(IF(ISNUMBER('9'!$G$6:$G$9), '9'!$G$6:$G$9), 3)</f>
        <v>0</v>
      </c>
      <c r="K15" s="9">
        <f t="shared" si="2"/>
        <v>0</v>
      </c>
      <c r="L15" s="10" t="str">
        <f>IF(OR(M15=0, M15="", COUNTIF('9'!$G$6:$G$9, M15)=0), "", INDEX('9'!$C$6:$C$9, MATCH(M15, '9'!$G$6:$G$9, 0)))</f>
        <v/>
      </c>
      <c r="M15" s="24">
        <f t="array" ref="M15">LARGE(IF(ISNUMBER('9'!$G$6:$G$9), '9'!$G$6:$G$9), 4)</f>
        <v>0</v>
      </c>
      <c r="N15" s="9">
        <f t="shared" si="3"/>
        <v>0</v>
      </c>
      <c r="O15" s="10" t="str">
        <f>IF(OR(P15=0, P15="", COUNTIF('9'!$G$11:$G$14, P15)=0), "", INDEX('9'!$C$11:$C$14, MATCH(P15, '9'!$G$11:$G$14, 0)))</f>
        <v>멧자</v>
      </c>
      <c r="P15" s="23">
        <f t="array" ref="P15">LARGE(IF(ISNUMBER('9'!$G$11:$G$14), '9'!$G$11:$G$14), 1)</f>
        <v>3735</v>
      </c>
      <c r="Q15" s="8">
        <f t="shared" si="4"/>
        <v>0.11238152550022566</v>
      </c>
      <c r="R15" s="10" t="str">
        <f>IF(OR(S15=0, S15="", COUNTIF('9'!$G$11:$G$14, S15)=0), "", INDEX('9'!$C$11:$C$14, MATCH(S15, '9'!$G$11:$G$14, 0)))</f>
        <v/>
      </c>
      <c r="S15" s="24">
        <f t="array" ref="S15">LARGE(IF(ISNUMBER('9'!$G$11:$G$14), '9'!$G$11:$G$14), 2)</f>
        <v>0</v>
      </c>
      <c r="T15" s="9">
        <f t="shared" si="5"/>
        <v>0</v>
      </c>
      <c r="U15" s="10" t="str">
        <f>IF(OR(V15=0, V15="", COUNTIF('9'!$G$11:$G$14, V15)=0), "", INDEX('9'!$C$11:$C$14, MATCH(V15, '9'!$G$11:$G$14, 0)))</f>
        <v/>
      </c>
      <c r="V15" s="24">
        <f t="array" ref="V15">LARGE(IF(ISNUMBER('9'!$G$11:$G$14), '9'!$G$11:$G$14), 3)</f>
        <v>0</v>
      </c>
      <c r="W15" s="9">
        <f t="shared" si="6"/>
        <v>0</v>
      </c>
      <c r="X15" s="10" t="str">
        <f>IF(OR(Y15=0, Y15="", COUNTIF('9'!$G$11:$G$14, Y15)=0), "", INDEX('9'!$C$11:$C$14, MATCH(Y15, '9'!$G$11:$G$14, 0)))</f>
        <v/>
      </c>
      <c r="Y15" s="24">
        <f t="array" ref="Y15">LARGE(IF(ISNUMBER('9'!$G$11:$G$14), '9'!$G$11:$G$14), 4)</f>
        <v>0</v>
      </c>
      <c r="Z15" s="9">
        <f t="shared" si="7"/>
        <v>0</v>
      </c>
      <c r="AA15" s="11">
        <f t="shared" si="8"/>
        <v>33235</v>
      </c>
      <c r="AC15" s="29">
        <v>9</v>
      </c>
      <c r="AD15" s="32">
        <f t="shared" si="9"/>
        <v>29500</v>
      </c>
      <c r="AE15" s="50">
        <f t="shared" si="10"/>
        <v>0.88761847449977438</v>
      </c>
      <c r="AF15" s="32">
        <f t="shared" si="11"/>
        <v>3735</v>
      </c>
      <c r="AG15" s="51">
        <f t="shared" si="12"/>
        <v>0.11238152550022566</v>
      </c>
      <c r="AI15" s="29"/>
      <c r="AJ15" s="39">
        <f t="shared" si="13"/>
        <v>0</v>
      </c>
      <c r="AK15" s="38" t="s">
        <v>107</v>
      </c>
      <c r="AL15" s="42">
        <f t="shared" si="14"/>
        <v>0</v>
      </c>
    </row>
    <row r="16" spans="2:38" ht="17.5" thickBot="1" x14ac:dyDescent="0.5">
      <c r="B16" s="13">
        <v>10</v>
      </c>
      <c r="C16" s="10" t="str">
        <f>IF(OR(D16=0, D16="", COUNTIF('10'!$G$6:$G$9, D16)=0), "", INDEX('10'!$C$6:$C$9, MATCH(D16, '10'!$G$6:$G$9, 0)))</f>
        <v>Acacia</v>
      </c>
      <c r="D16" s="23">
        <f t="array" ref="D16">LARGE(IF(ISNUMBER('10'!$G$6:$G$9), '10'!$G$6:$G$9), 1)</f>
        <v>43000</v>
      </c>
      <c r="E16" s="8">
        <f t="shared" si="0"/>
        <v>0.90088202635603698</v>
      </c>
      <c r="F16" s="10" t="str">
        <f>IF(OR(G16=0, G16="", COUNTIF('10'!$G$6:$G$9, G16)=0), "", INDEX('10'!$C$6:$C$9, MATCH(G16, '10'!$G$6:$G$9, 0)))</f>
        <v/>
      </c>
      <c r="G16" s="24">
        <f t="array" ref="G16">LARGE(IF(ISNUMBER('10'!$G$6:$G$9), '10'!$G$6:$G$9), 2)</f>
        <v>0</v>
      </c>
      <c r="H16" s="9">
        <f t="shared" si="1"/>
        <v>0</v>
      </c>
      <c r="I16" s="10" t="str">
        <f>IF(OR(J16=0, J16="", COUNTIF('10'!$G$6:$G$9, J16)=0), "", INDEX('10'!$C$6:$C$9, MATCH(J16, '10'!$G$6:$G$9, 0)))</f>
        <v/>
      </c>
      <c r="J16" s="24">
        <f t="array" ref="J16">LARGE(IF(ISNUMBER('10'!$G$6:$G$9), '10'!$G$6:$G$9), 3)</f>
        <v>0</v>
      </c>
      <c r="K16" s="9">
        <f t="shared" si="2"/>
        <v>0</v>
      </c>
      <c r="L16" s="10" t="str">
        <f>IF(OR(M16=0, M16="", COUNTIF('10'!$G$6:$G$9, M16)=0), "", INDEX('10'!$C$6:$C$9, MATCH(M16, '10'!$G$6:$G$9, 0)))</f>
        <v/>
      </c>
      <c r="M16" s="24">
        <f t="array" ref="M16">LARGE(IF(ISNUMBER('10'!$G$6:$G$9), '10'!$G$6:$G$9), 4)</f>
        <v>0</v>
      </c>
      <c r="N16" s="9">
        <f t="shared" si="3"/>
        <v>0</v>
      </c>
      <c r="O16" s="10" t="str">
        <f>IF(OR(P16=0, P16="", COUNTIF('10'!$G$11:$G$14, P16)=0), "", INDEX('10'!$C$11:$C$14, MATCH(P16, '10'!$G$11:$G$14, 0)))</f>
        <v>멧자</v>
      </c>
      <c r="P16" s="23">
        <f t="array" ref="P16">LARGE(IF(ISNUMBER('10'!$G$11:$G$14), '10'!$G$11:$G$14), 1)</f>
        <v>4731</v>
      </c>
      <c r="Q16" s="8">
        <f t="shared" si="4"/>
        <v>9.9117973643963048E-2</v>
      </c>
      <c r="R16" s="10" t="str">
        <f>IF(OR(S16=0, S16="", COUNTIF('10'!$G$11:$G$14, S16)=0), "", INDEX('10'!$C$11:$C$14, MATCH(S16, '10'!$G$11:$G$14, 0)))</f>
        <v/>
      </c>
      <c r="S16" s="24">
        <f t="array" ref="S16">LARGE(IF(ISNUMBER('10'!$G$11:$G$14), '10'!$G$11:$G$14), 2)</f>
        <v>0</v>
      </c>
      <c r="T16" s="9">
        <f t="shared" si="5"/>
        <v>0</v>
      </c>
      <c r="U16" s="10" t="str">
        <f>IF(OR(V16=0, V16="", COUNTIF('10'!$G$11:$G$14, V16)=0), "", INDEX('10'!$C$11:$C$14, MATCH(V16, '10'!$G$11:$G$14, 0)))</f>
        <v/>
      </c>
      <c r="V16" s="24">
        <f t="array" ref="V16">LARGE(IF(ISNUMBER('10'!$G$11:$G$14), '10'!$G$11:$G$14), 3)</f>
        <v>0</v>
      </c>
      <c r="W16" s="9">
        <f t="shared" si="6"/>
        <v>0</v>
      </c>
      <c r="X16" s="10" t="str">
        <f>IF(OR(Y16=0, Y16="", COUNTIF('10'!$G$11:$G$14, Y16)=0), "", INDEX('10'!$C$11:$C$14, MATCH(Y16, '10'!$G$11:$G$14, 0)))</f>
        <v/>
      </c>
      <c r="Y16" s="24">
        <f t="array" ref="Y16">LARGE(IF(ISNUMBER('10'!$G$11:$G$14), '10'!$G$11:$G$14), 4)</f>
        <v>0</v>
      </c>
      <c r="Z16" s="9">
        <f t="shared" si="7"/>
        <v>0</v>
      </c>
      <c r="AA16" s="11">
        <f t="shared" si="8"/>
        <v>47731</v>
      </c>
      <c r="AC16" s="29">
        <v>10</v>
      </c>
      <c r="AD16" s="32">
        <f t="shared" si="9"/>
        <v>43000</v>
      </c>
      <c r="AE16" s="50">
        <f t="shared" si="10"/>
        <v>0.90088202635603698</v>
      </c>
      <c r="AF16" s="32">
        <f t="shared" si="11"/>
        <v>4731</v>
      </c>
      <c r="AG16" s="51">
        <f t="shared" si="12"/>
        <v>9.9117973643963048E-2</v>
      </c>
      <c r="AI16" s="28" t="s">
        <v>89</v>
      </c>
      <c r="AJ16" s="40">
        <f>SUM(AJ7:AJ15)</f>
        <v>1107000</v>
      </c>
      <c r="AK16" s="28" t="s">
        <v>89</v>
      </c>
      <c r="AL16" s="41">
        <f>SUM(AL7:AL15)</f>
        <v>208164</v>
      </c>
    </row>
    <row r="17" spans="2:33" x14ac:dyDescent="0.45">
      <c r="B17" s="13">
        <v>11</v>
      </c>
      <c r="C17" s="10" t="str">
        <f>IF(OR(D17=0, D17="", COUNTIF('11'!$G$6:$G$9, D17)=0), "", INDEX('11'!$C$6:$C$9, MATCH(D17, '11'!$G$6:$G$9, 0)))</f>
        <v>Acacia</v>
      </c>
      <c r="D17" s="23">
        <f t="array" ref="D17">LARGE(IF(ISNUMBER('11'!$G$6:$G$9), '11'!$G$6:$G$9), 1)</f>
        <v>40000</v>
      </c>
      <c r="E17" s="8">
        <f t="shared" si="0"/>
        <v>0.88928412627834597</v>
      </c>
      <c r="F17" s="10" t="str">
        <f>IF(OR(G17=0, G17="", COUNTIF('11'!$G$6:$G$9, G17)=0), "", INDEX('11'!$C$6:$C$9, MATCH(G17, '11'!$G$6:$G$9, 0)))</f>
        <v/>
      </c>
      <c r="G17" s="24">
        <f t="array" ref="G17">LARGE(IF(ISNUMBER('11'!$G$6:$G$9), '11'!$G$6:$G$9), 2)</f>
        <v>0</v>
      </c>
      <c r="H17" s="9">
        <f t="shared" si="1"/>
        <v>0</v>
      </c>
      <c r="I17" s="10" t="str">
        <f>IF(OR(J17=0, J17="", COUNTIF('11'!$G$6:$G$9, J17)=0), "", INDEX('11'!$C$6:$C$9, MATCH(J17, '11'!$G$6:$G$9, 0)))</f>
        <v/>
      </c>
      <c r="J17" s="24">
        <f t="array" ref="J17">LARGE(IF(ISNUMBER('11'!$G$6:$G$9), '11'!$G$6:$G$9), 3)</f>
        <v>0</v>
      </c>
      <c r="K17" s="9">
        <f t="shared" si="2"/>
        <v>0</v>
      </c>
      <c r="L17" s="10" t="str">
        <f>IF(OR(M17=0, M17="", COUNTIF('11'!$G$6:$G$9, M17)=0), "", INDEX('11'!$C$6:$C$9, MATCH(M17, '11'!$G$6:$G$9, 0)))</f>
        <v/>
      </c>
      <c r="M17" s="24">
        <f t="array" ref="M17">LARGE(IF(ISNUMBER('11'!$G$6:$G$9), '11'!$G$6:$G$9), 4)</f>
        <v>0</v>
      </c>
      <c r="N17" s="9">
        <f t="shared" si="3"/>
        <v>0</v>
      </c>
      <c r="O17" s="10" t="str">
        <f>IF(OR(P17=0, P17="", COUNTIF('11'!$G$11:$G$14, P17)=0), "", INDEX('11'!$C$11:$C$14, MATCH(P17, '11'!$G$11:$G$14, 0)))</f>
        <v>멧자</v>
      </c>
      <c r="P17" s="23">
        <f t="array" ref="P17">LARGE(IF(ISNUMBER('11'!$G$11:$G$14), '11'!$G$11:$G$14), 1)</f>
        <v>4980</v>
      </c>
      <c r="Q17" s="8">
        <f t="shared" si="4"/>
        <v>0.11071587372165406</v>
      </c>
      <c r="R17" s="10" t="str">
        <f>IF(OR(S17=0, S17="", COUNTIF('11'!$G$11:$G$14, S17)=0), "", INDEX('11'!$C$11:$C$14, MATCH(S17, '11'!$G$11:$G$14, 0)))</f>
        <v/>
      </c>
      <c r="S17" s="24">
        <f t="array" ref="S17">LARGE(IF(ISNUMBER('11'!$G$11:$G$14), '11'!$G$11:$G$14), 2)</f>
        <v>0</v>
      </c>
      <c r="T17" s="9">
        <f t="shared" si="5"/>
        <v>0</v>
      </c>
      <c r="U17" s="10" t="str">
        <f>IF(OR(V17=0, V17="", COUNTIF('11'!$G$11:$G$14, V17)=0), "", INDEX('11'!$C$11:$C$14, MATCH(V17, '11'!$G$11:$G$14, 0)))</f>
        <v/>
      </c>
      <c r="V17" s="24">
        <f t="array" ref="V17">LARGE(IF(ISNUMBER('11'!$G$11:$G$14), '11'!$G$11:$G$14), 3)</f>
        <v>0</v>
      </c>
      <c r="W17" s="9">
        <f t="shared" si="6"/>
        <v>0</v>
      </c>
      <c r="X17" s="10" t="str">
        <f>IF(OR(Y17=0, Y17="", COUNTIF('11'!$G$11:$G$14, Y17)=0), "", INDEX('11'!$C$11:$C$14, MATCH(Y17, '11'!$G$11:$G$14, 0)))</f>
        <v/>
      </c>
      <c r="Y17" s="24">
        <f t="array" ref="Y17">LARGE(IF(ISNUMBER('11'!$G$11:$G$14), '11'!$G$11:$G$14), 4)</f>
        <v>0</v>
      </c>
      <c r="Z17" s="9">
        <f t="shared" si="7"/>
        <v>0</v>
      </c>
      <c r="AA17" s="11">
        <f t="shared" si="8"/>
        <v>44980</v>
      </c>
      <c r="AC17" s="29">
        <v>11</v>
      </c>
      <c r="AD17" s="32">
        <f t="shared" si="9"/>
        <v>40000</v>
      </c>
      <c r="AE17" s="50">
        <f t="shared" si="10"/>
        <v>0.88928412627834597</v>
      </c>
      <c r="AF17" s="32">
        <f t="shared" si="11"/>
        <v>4980</v>
      </c>
      <c r="AG17" s="51">
        <f t="shared" si="12"/>
        <v>0.11071587372165406</v>
      </c>
    </row>
    <row r="18" spans="2:33" x14ac:dyDescent="0.45">
      <c r="B18" s="13">
        <v>12</v>
      </c>
      <c r="C18" s="10" t="str">
        <f>IF(OR(D18=0, D18="", COUNTIF('12'!$G$6:$G$9, D18)=0), "", INDEX('12'!$C$6:$C$9, MATCH(D18, '12'!$G$6:$G$9, 0)))</f>
        <v>Acacia</v>
      </c>
      <c r="D18" s="23">
        <f t="array" ref="D18">LARGE(IF(ISNUMBER('12'!$G$6:$G$9), '12'!$G$6:$G$9), 1)</f>
        <v>43250</v>
      </c>
      <c r="E18" s="8">
        <f t="shared" si="0"/>
        <v>0.86117637688662341</v>
      </c>
      <c r="F18" s="10" t="str">
        <f>IF(OR(G18=0, G18="", COUNTIF('12'!$G$6:$G$9, G18)=0), "", INDEX('12'!$C$6:$C$9, MATCH(G18, '12'!$G$6:$G$9, 0)))</f>
        <v/>
      </c>
      <c r="G18" s="24">
        <f t="array" ref="G18">LARGE(IF(ISNUMBER('12'!$G$6:$G$9), '12'!$G$6:$G$9), 2)</f>
        <v>0</v>
      </c>
      <c r="H18" s="9">
        <f t="shared" si="1"/>
        <v>0</v>
      </c>
      <c r="I18" s="10" t="str">
        <f>IF(OR(J18=0, J18="", COUNTIF('12'!$G$6:$G$9, J18)=0), "", INDEX('12'!$C$6:$C$9, MATCH(J18, '12'!$G$6:$G$9, 0)))</f>
        <v/>
      </c>
      <c r="J18" s="24">
        <f t="array" ref="J18">LARGE(IF(ISNUMBER('12'!$G$6:$G$9), '12'!$G$6:$G$9), 3)</f>
        <v>0</v>
      </c>
      <c r="K18" s="9">
        <f t="shared" si="2"/>
        <v>0</v>
      </c>
      <c r="L18" s="10" t="str">
        <f>IF(OR(M18=0, M18="", COUNTIF('12'!$G$6:$G$9, M18)=0), "", INDEX('12'!$C$6:$C$9, MATCH(M18, '12'!$G$6:$G$9, 0)))</f>
        <v/>
      </c>
      <c r="M18" s="24">
        <f t="array" ref="M18">LARGE(IF(ISNUMBER('12'!$G$6:$G$9), '12'!$G$6:$G$9), 4)</f>
        <v>0</v>
      </c>
      <c r="N18" s="9">
        <f t="shared" si="3"/>
        <v>0</v>
      </c>
      <c r="O18" s="10" t="str">
        <f>IF(OR(P18=0, P18="", COUNTIF('12'!$G$11:$G$14, P18)=0), "", INDEX('12'!$C$11:$C$14, MATCH(P18, '12'!$G$11:$G$14, 0)))</f>
        <v>멧자</v>
      </c>
      <c r="P18" s="23">
        <f t="array" ref="P18">LARGE(IF(ISNUMBER('12'!$G$11:$G$14), '12'!$G$11:$G$14), 1)</f>
        <v>6972</v>
      </c>
      <c r="Q18" s="8">
        <f t="shared" si="4"/>
        <v>0.13882362311337662</v>
      </c>
      <c r="R18" s="10" t="str">
        <f>IF(OR(S18=0, S18="", COUNTIF('12'!$G$11:$G$14, S18)=0), "", INDEX('12'!$C$11:$C$14, MATCH(S18, '12'!$G$11:$G$14, 0)))</f>
        <v/>
      </c>
      <c r="S18" s="24">
        <f t="array" ref="S18">LARGE(IF(ISNUMBER('12'!$G$11:$G$14), '12'!$G$11:$G$14), 2)</f>
        <v>0</v>
      </c>
      <c r="T18" s="9">
        <f t="shared" si="5"/>
        <v>0</v>
      </c>
      <c r="U18" s="10" t="str">
        <f>IF(OR(V18=0, V18="", COUNTIF('12'!$G$11:$G$14, V18)=0), "", INDEX('12'!$C$11:$C$14, MATCH(V18, '12'!$G$11:$G$14, 0)))</f>
        <v/>
      </c>
      <c r="V18" s="24">
        <f t="array" ref="V18">LARGE(IF(ISNUMBER('12'!$G$11:$G$14), '12'!$G$11:$G$14), 3)</f>
        <v>0</v>
      </c>
      <c r="W18" s="9">
        <f t="shared" si="6"/>
        <v>0</v>
      </c>
      <c r="X18" s="10" t="str">
        <f>IF(OR(Y18=0, Y18="", COUNTIF('12'!$G$11:$G$14, Y18)=0), "", INDEX('12'!$C$11:$C$14, MATCH(Y18, '12'!$G$11:$G$14, 0)))</f>
        <v/>
      </c>
      <c r="Y18" s="24">
        <f t="array" ref="Y18">LARGE(IF(ISNUMBER('12'!$G$11:$G$14), '12'!$G$11:$G$14), 4)</f>
        <v>0</v>
      </c>
      <c r="Z18" s="9">
        <f t="shared" si="7"/>
        <v>0</v>
      </c>
      <c r="AA18" s="11">
        <f t="shared" si="8"/>
        <v>50222</v>
      </c>
      <c r="AC18" s="29">
        <v>12</v>
      </c>
      <c r="AD18" s="32">
        <f t="shared" si="9"/>
        <v>43250</v>
      </c>
      <c r="AE18" s="50">
        <f t="shared" si="10"/>
        <v>0.86117637688662341</v>
      </c>
      <c r="AF18" s="32">
        <f t="shared" si="11"/>
        <v>6972</v>
      </c>
      <c r="AG18" s="51">
        <f t="shared" si="12"/>
        <v>0.13882362311337662</v>
      </c>
    </row>
    <row r="19" spans="2:33" x14ac:dyDescent="0.45">
      <c r="B19" s="13">
        <v>13</v>
      </c>
      <c r="C19" s="10" t="str">
        <f>IF(OR(D19=0, D19="", COUNTIF('13'!$G$6:$G$9, D19)=0), "", INDEX('13'!$C$6:$C$9, MATCH(D19, '13'!$G$6:$G$9, 0)))</f>
        <v>Acacia</v>
      </c>
      <c r="D19" s="23">
        <f t="array" ref="D19">LARGE(IF(ISNUMBER('13'!$G$6:$G$9), '13'!$G$6:$G$9), 1)</f>
        <v>29750</v>
      </c>
      <c r="E19" s="8">
        <f t="shared" si="0"/>
        <v>0.7008410092110533</v>
      </c>
      <c r="F19" s="10" t="str">
        <f>IF(OR(G19=0, G19="", COUNTIF('13'!$G$6:$G$9, G19)=0), "", INDEX('13'!$C$6:$C$9, MATCH(G19, '13'!$G$6:$G$9, 0)))</f>
        <v/>
      </c>
      <c r="G19" s="24">
        <f t="array" ref="G19">LARGE(IF(ISNUMBER('13'!$G$6:$G$9), '13'!$G$6:$G$9), 2)</f>
        <v>0</v>
      </c>
      <c r="H19" s="9">
        <f t="shared" si="1"/>
        <v>0</v>
      </c>
      <c r="I19" s="10" t="str">
        <f>IF(OR(J19=0, J19="", COUNTIF('13'!$G$6:$G$9, J19)=0), "", INDEX('13'!$C$6:$C$9, MATCH(J19, '13'!$G$6:$G$9, 0)))</f>
        <v/>
      </c>
      <c r="J19" s="24">
        <f t="array" ref="J19">LARGE(IF(ISNUMBER('13'!$G$6:$G$9), '13'!$G$6:$G$9), 3)</f>
        <v>0</v>
      </c>
      <c r="K19" s="9">
        <f t="shared" si="2"/>
        <v>0</v>
      </c>
      <c r="L19" s="10" t="str">
        <f>IF(OR(M19=0, M19="", COUNTIF('13'!$G$6:$G$9, M19)=0), "", INDEX('13'!$C$6:$C$9, MATCH(M19, '13'!$G$6:$G$9, 0)))</f>
        <v/>
      </c>
      <c r="M19" s="24">
        <f t="array" ref="M19">LARGE(IF(ISNUMBER('13'!$G$6:$G$9), '13'!$G$6:$G$9), 4)</f>
        <v>0</v>
      </c>
      <c r="N19" s="9">
        <f t="shared" si="3"/>
        <v>0</v>
      </c>
      <c r="O19" s="10" t="str">
        <f>IF(OR(P19=0, P19="", COUNTIF('13'!$G$11:$G$14, P19)=0), "", INDEX('13'!$C$11:$C$14, MATCH(P19, '13'!$G$11:$G$14, 0)))</f>
        <v>멧자</v>
      </c>
      <c r="P19" s="23">
        <f t="array" ref="P19">LARGE(IF(ISNUMBER('13'!$G$11:$G$14), '13'!$G$11:$G$14), 1)</f>
        <v>12699</v>
      </c>
      <c r="Q19" s="8">
        <f t="shared" si="4"/>
        <v>0.29915899078894675</v>
      </c>
      <c r="R19" s="10" t="str">
        <f>IF(OR(S19=0, S19="", COUNTIF('13'!$G$11:$G$14, S19)=0), "", INDEX('13'!$C$11:$C$14, MATCH(S19, '13'!$G$11:$G$14, 0)))</f>
        <v/>
      </c>
      <c r="S19" s="24">
        <f t="array" ref="S19">LARGE(IF(ISNUMBER('13'!$G$11:$G$14), '13'!$G$11:$G$14), 2)</f>
        <v>0</v>
      </c>
      <c r="T19" s="9">
        <f t="shared" si="5"/>
        <v>0</v>
      </c>
      <c r="U19" s="10" t="str">
        <f>IF(OR(V19=0, V19="", COUNTIF('13'!$G$11:$G$14, V19)=0), "", INDEX('13'!$C$11:$C$14, MATCH(V19, '13'!$G$11:$G$14, 0)))</f>
        <v/>
      </c>
      <c r="V19" s="24">
        <f t="array" ref="V19">LARGE(IF(ISNUMBER('13'!$G$11:$G$14), '13'!$G$11:$G$14), 3)</f>
        <v>0</v>
      </c>
      <c r="W19" s="9">
        <f t="shared" si="6"/>
        <v>0</v>
      </c>
      <c r="X19" s="10" t="str">
        <f>IF(OR(Y19=0, Y19="", COUNTIF('13'!$G$11:$G$14, Y19)=0), "", INDEX('13'!$C$11:$C$14, MATCH(Y19, '13'!$G$11:$G$14, 0)))</f>
        <v/>
      </c>
      <c r="Y19" s="24">
        <f t="array" ref="Y19">LARGE(IF(ISNUMBER('13'!$G$11:$G$14), '13'!$G$11:$G$14), 4)</f>
        <v>0</v>
      </c>
      <c r="Z19" s="9">
        <f t="shared" si="7"/>
        <v>0</v>
      </c>
      <c r="AA19" s="11">
        <f t="shared" si="8"/>
        <v>42449</v>
      </c>
      <c r="AC19" s="29">
        <v>13</v>
      </c>
      <c r="AD19" s="32">
        <f t="shared" si="9"/>
        <v>29750</v>
      </c>
      <c r="AE19" s="50">
        <f t="shared" si="10"/>
        <v>0.7008410092110533</v>
      </c>
      <c r="AF19" s="32">
        <f t="shared" si="11"/>
        <v>12699</v>
      </c>
      <c r="AG19" s="51">
        <f t="shared" si="12"/>
        <v>0.29915899078894675</v>
      </c>
    </row>
    <row r="20" spans="2:33" x14ac:dyDescent="0.45">
      <c r="B20" s="13">
        <v>14</v>
      </c>
      <c r="C20" s="10" t="str">
        <f>IF(OR(D20=0, D20="", COUNTIF('14'!$G$6:$G$9, D20)=0), "", INDEX('14'!$C$6:$C$9, MATCH(D20, '14'!$G$6:$G$9, 0)))</f>
        <v>Acacia</v>
      </c>
      <c r="D20" s="23">
        <f t="array" ref="D20">LARGE(IF(ISNUMBER('14'!$G$6:$G$9), '14'!$G$6:$G$9), 1)</f>
        <v>36750</v>
      </c>
      <c r="E20" s="8">
        <f t="shared" si="0"/>
        <v>0.7008410092110533</v>
      </c>
      <c r="F20" s="10" t="str">
        <f>IF(OR(G20=0, G20="", COUNTIF('14'!$G$6:$G$9, G20)=0), "", INDEX('14'!$C$6:$C$9, MATCH(G20, '14'!$G$6:$G$9, 0)))</f>
        <v/>
      </c>
      <c r="G20" s="24">
        <f t="array" ref="G20">LARGE(IF(ISNUMBER('14'!$G$6:$G$9), '14'!$G$6:$G$9), 2)</f>
        <v>0</v>
      </c>
      <c r="H20" s="9">
        <f t="shared" si="1"/>
        <v>0</v>
      </c>
      <c r="I20" s="10" t="str">
        <f>IF(OR(J20=0, J20="", COUNTIF('14'!$G$6:$G$9, J20)=0), "", INDEX('14'!$C$6:$C$9, MATCH(J20, '14'!$G$6:$G$9, 0)))</f>
        <v/>
      </c>
      <c r="J20" s="24">
        <f t="array" ref="J20">LARGE(IF(ISNUMBER('14'!$G$6:$G$9), '14'!$G$6:$G$9), 3)</f>
        <v>0</v>
      </c>
      <c r="K20" s="9">
        <f t="shared" si="2"/>
        <v>0</v>
      </c>
      <c r="L20" s="10" t="str">
        <f>IF(OR(M20=0, M20="", COUNTIF('14'!$G$6:$G$9, M20)=0), "", INDEX('14'!$C$6:$C$9, MATCH(M20, '14'!$G$6:$G$9, 0)))</f>
        <v/>
      </c>
      <c r="M20" s="24">
        <f t="array" ref="M20">LARGE(IF(ISNUMBER('14'!$G$6:$G$9), '14'!$G$6:$G$9), 4)</f>
        <v>0</v>
      </c>
      <c r="N20" s="9">
        <f t="shared" si="3"/>
        <v>0</v>
      </c>
      <c r="O20" s="10" t="str">
        <f>IF(OR(P20=0, P20="", COUNTIF('14'!$G$11:$G$14, P20)=0), "", INDEX('14'!$C$11:$C$14, MATCH(P20, '14'!$G$11:$G$14, 0)))</f>
        <v>멧자</v>
      </c>
      <c r="P20" s="23">
        <f t="array" ref="P20">LARGE(IF(ISNUMBER('14'!$G$11:$G$14), '14'!$G$11:$G$14), 1)</f>
        <v>15687</v>
      </c>
      <c r="Q20" s="8">
        <f t="shared" si="4"/>
        <v>0.29915899078894675</v>
      </c>
      <c r="R20" s="10" t="str">
        <f>IF(OR(S20=0, S20="", COUNTIF('14'!$G$11:$G$14, S20)=0), "", INDEX('14'!$C$11:$C$14, MATCH(S20, '14'!$G$11:$G$14, 0)))</f>
        <v/>
      </c>
      <c r="S20" s="24">
        <f t="array" ref="S20">LARGE(IF(ISNUMBER('14'!$G$11:$G$14), '14'!$G$11:$G$14), 2)</f>
        <v>0</v>
      </c>
      <c r="T20" s="9">
        <f t="shared" si="5"/>
        <v>0</v>
      </c>
      <c r="U20" s="10" t="str">
        <f>IF(OR(V20=0, V20="", COUNTIF('14'!$G$11:$G$14, V20)=0), "", INDEX('14'!$C$11:$C$14, MATCH(V20, '14'!$G$11:$G$14, 0)))</f>
        <v/>
      </c>
      <c r="V20" s="24">
        <f t="array" ref="V20">LARGE(IF(ISNUMBER('14'!$G$11:$G$14), '14'!$G$11:$G$14), 3)</f>
        <v>0</v>
      </c>
      <c r="W20" s="9">
        <f t="shared" si="6"/>
        <v>0</v>
      </c>
      <c r="X20" s="10" t="str">
        <f>IF(OR(Y20=0, Y20="", COUNTIF('14'!$G$11:$G$14, Y20)=0), "", INDEX('14'!$C$11:$C$14, MATCH(Y20, '14'!$G$11:$G$14, 0)))</f>
        <v/>
      </c>
      <c r="Y20" s="24">
        <f t="array" ref="Y20">LARGE(IF(ISNUMBER('14'!$G$11:$G$14), '14'!$G$11:$G$14), 4)</f>
        <v>0</v>
      </c>
      <c r="Z20" s="9">
        <f t="shared" si="7"/>
        <v>0</v>
      </c>
      <c r="AA20" s="11">
        <f t="shared" si="8"/>
        <v>52437</v>
      </c>
      <c r="AC20" s="29">
        <v>14</v>
      </c>
      <c r="AD20" s="32">
        <f t="shared" si="9"/>
        <v>36750</v>
      </c>
      <c r="AE20" s="50">
        <f t="shared" si="10"/>
        <v>0.7008410092110533</v>
      </c>
      <c r="AF20" s="32">
        <f t="shared" si="11"/>
        <v>15687</v>
      </c>
      <c r="AG20" s="51">
        <f t="shared" si="12"/>
        <v>0.29915899078894675</v>
      </c>
    </row>
    <row r="21" spans="2:33" x14ac:dyDescent="0.45">
      <c r="B21" s="13">
        <v>15</v>
      </c>
      <c r="C21" s="10" t="str">
        <f>IF(OR(D21=0, D21="", COUNTIF('15'!$G$6:$G$9, D21)=0), "", INDEX('15'!$C$6:$C$9, MATCH(D21, '15'!$G$6:$G$9, 0)))</f>
        <v>Acacia</v>
      </c>
      <c r="D21" s="23">
        <f t="array" ref="D21">LARGE(IF(ISNUMBER('15'!$G$6:$G$9), '15'!$G$6:$G$9), 1)</f>
        <v>32500</v>
      </c>
      <c r="E21" s="8">
        <f t="shared" si="0"/>
        <v>0.67795903041428507</v>
      </c>
      <c r="F21" s="10" t="str">
        <f>IF(OR(G21=0, G21="", COUNTIF('15'!$G$6:$G$9, G21)=0), "", INDEX('15'!$C$6:$C$9, MATCH(G21, '15'!$G$6:$G$9, 0)))</f>
        <v/>
      </c>
      <c r="G21" s="24">
        <f t="array" ref="G21">LARGE(IF(ISNUMBER('15'!$G$6:$G$9), '15'!$G$6:$G$9), 2)</f>
        <v>0</v>
      </c>
      <c r="H21" s="9">
        <f t="shared" si="1"/>
        <v>0</v>
      </c>
      <c r="I21" s="10" t="str">
        <f>IF(OR(J21=0, J21="", COUNTIF('15'!$G$6:$G$9, J21)=0), "", INDEX('15'!$C$6:$C$9, MATCH(J21, '15'!$G$6:$G$9, 0)))</f>
        <v/>
      </c>
      <c r="J21" s="24">
        <f t="array" ref="J21">LARGE(IF(ISNUMBER('15'!$G$6:$G$9), '15'!$G$6:$G$9), 3)</f>
        <v>0</v>
      </c>
      <c r="K21" s="9">
        <f t="shared" si="2"/>
        <v>0</v>
      </c>
      <c r="L21" s="10" t="str">
        <f>IF(OR(M21=0, M21="", COUNTIF('15'!$G$6:$G$9, M21)=0), "", INDEX('15'!$C$6:$C$9, MATCH(M21, '15'!$G$6:$G$9, 0)))</f>
        <v/>
      </c>
      <c r="M21" s="24">
        <f t="array" ref="M21">LARGE(IF(ISNUMBER('15'!$G$6:$G$9), '15'!$G$6:$G$9), 4)</f>
        <v>0</v>
      </c>
      <c r="N21" s="9">
        <f t="shared" si="3"/>
        <v>0</v>
      </c>
      <c r="O21" s="10" t="str">
        <f>IF(OR(P21=0, P21="", COUNTIF('15'!$G$11:$G$14, P21)=0), "", INDEX('15'!$C$11:$C$14, MATCH(P21, '15'!$G$11:$G$14, 0)))</f>
        <v>멧자</v>
      </c>
      <c r="P21" s="23">
        <f t="array" ref="P21">LARGE(IF(ISNUMBER('15'!$G$11:$G$14), '15'!$G$11:$G$14), 1)</f>
        <v>15438</v>
      </c>
      <c r="Q21" s="8">
        <f t="shared" si="4"/>
        <v>0.32204096958571488</v>
      </c>
      <c r="R21" s="10" t="str">
        <f>IF(OR(S21=0, S21="", COUNTIF('15'!$G$11:$G$14, S21)=0), "", INDEX('15'!$C$11:$C$14, MATCH(S21, '15'!$G$11:$G$14, 0)))</f>
        <v/>
      </c>
      <c r="S21" s="24">
        <f t="array" ref="S21">LARGE(IF(ISNUMBER('15'!$G$11:$G$14), '15'!$G$11:$G$14), 2)</f>
        <v>0</v>
      </c>
      <c r="T21" s="9">
        <f t="shared" si="5"/>
        <v>0</v>
      </c>
      <c r="U21" s="10" t="str">
        <f>IF(OR(V21=0, V21="", COUNTIF('15'!$G$11:$G$14, V21)=0), "", INDEX('15'!$C$11:$C$14, MATCH(V21, '15'!$G$11:$G$14, 0)))</f>
        <v/>
      </c>
      <c r="V21" s="24">
        <f t="array" ref="V21">LARGE(IF(ISNUMBER('15'!$G$11:$G$14), '15'!$G$11:$G$14), 3)</f>
        <v>0</v>
      </c>
      <c r="W21" s="9">
        <f t="shared" si="6"/>
        <v>0</v>
      </c>
      <c r="X21" s="10" t="str">
        <f>IF(OR(Y21=0, Y21="", COUNTIF('15'!$G$11:$G$14, Y21)=0), "", INDEX('15'!$C$11:$C$14, MATCH(Y21, '15'!$G$11:$G$14, 0)))</f>
        <v/>
      </c>
      <c r="Y21" s="24">
        <f t="array" ref="Y21">LARGE(IF(ISNUMBER('15'!$G$11:$G$14), '15'!$G$11:$G$14), 4)</f>
        <v>0</v>
      </c>
      <c r="Z21" s="9">
        <f t="shared" si="7"/>
        <v>0</v>
      </c>
      <c r="AA21" s="11">
        <f t="shared" si="8"/>
        <v>47938</v>
      </c>
      <c r="AC21" s="29">
        <v>15</v>
      </c>
      <c r="AD21" s="32">
        <f t="shared" si="9"/>
        <v>32500</v>
      </c>
      <c r="AE21" s="50">
        <f t="shared" si="10"/>
        <v>0.67795903041428507</v>
      </c>
      <c r="AF21" s="32">
        <f t="shared" si="11"/>
        <v>15438</v>
      </c>
      <c r="AG21" s="51">
        <f t="shared" si="12"/>
        <v>0.32204096958571488</v>
      </c>
    </row>
    <row r="22" spans="2:33" x14ac:dyDescent="0.45">
      <c r="B22" s="13">
        <v>16</v>
      </c>
      <c r="C22" s="10" t="str">
        <f>IF(OR(D22=0, D22="", COUNTIF('16'!$G$6:$G$9, D22)=0), "", INDEX('16'!$C$6:$C$9, MATCH(D22, '16'!$G$6:$G$9, 0)))</f>
        <v>Acacia</v>
      </c>
      <c r="D22" s="23">
        <f t="array" ref="D22">LARGE(IF(ISNUMBER('16'!$G$6:$G$9), '16'!$G$6:$G$9), 1)</f>
        <v>33250</v>
      </c>
      <c r="E22" s="8">
        <f t="shared" si="0"/>
        <v>0.7008410092110533</v>
      </c>
      <c r="F22" s="10" t="str">
        <f>IF(OR(G22=0, G22="", COUNTIF('16'!$G$6:$G$9, G22)=0), "", INDEX('16'!$C$6:$C$9, MATCH(G22, '16'!$G$6:$G$9, 0)))</f>
        <v/>
      </c>
      <c r="G22" s="24">
        <f t="array" ref="G22">LARGE(IF(ISNUMBER('16'!$G$6:$G$9), '16'!$G$6:$G$9), 2)</f>
        <v>0</v>
      </c>
      <c r="H22" s="9">
        <f t="shared" si="1"/>
        <v>0</v>
      </c>
      <c r="I22" s="10" t="str">
        <f>IF(OR(J22=0, J22="", COUNTIF('16'!$G$6:$G$9, J22)=0), "", INDEX('16'!$C$6:$C$9, MATCH(J22, '16'!$G$6:$G$9, 0)))</f>
        <v/>
      </c>
      <c r="J22" s="24">
        <f t="array" ref="J22">LARGE(IF(ISNUMBER('16'!$G$6:$G$9), '16'!$G$6:$G$9), 3)</f>
        <v>0</v>
      </c>
      <c r="K22" s="9">
        <f t="shared" si="2"/>
        <v>0</v>
      </c>
      <c r="L22" s="10" t="str">
        <f>IF(OR(M22=0, M22="", COUNTIF('16'!$G$6:$G$9, M22)=0), "", INDEX('16'!$C$6:$C$9, MATCH(M22, '16'!$G$6:$G$9, 0)))</f>
        <v/>
      </c>
      <c r="M22" s="24">
        <f t="array" ref="M22">LARGE(IF(ISNUMBER('16'!$G$6:$G$9), '16'!$G$6:$G$9), 4)</f>
        <v>0</v>
      </c>
      <c r="N22" s="9">
        <f t="shared" si="3"/>
        <v>0</v>
      </c>
      <c r="O22" s="10" t="str">
        <f>IF(OR(P22=0, P22="", COUNTIF('16'!$G$11:$G$14, P22)=0), "", INDEX('16'!$C$11:$C$14, MATCH(P22, '16'!$G$11:$G$14, 0)))</f>
        <v>멧자</v>
      </c>
      <c r="P22" s="23">
        <f t="array" ref="P22">LARGE(IF(ISNUMBER('16'!$G$11:$G$14), '16'!$G$11:$G$14), 1)</f>
        <v>14193</v>
      </c>
      <c r="Q22" s="8">
        <f t="shared" si="4"/>
        <v>0.29915899078894675</v>
      </c>
      <c r="R22" s="10" t="str">
        <f>IF(OR(S22=0, S22="", COUNTIF('16'!$G$11:$G$14, S22)=0), "", INDEX('16'!$C$11:$C$14, MATCH(S22, '16'!$G$11:$G$14, 0)))</f>
        <v/>
      </c>
      <c r="S22" s="24">
        <f t="array" ref="S22">LARGE(IF(ISNUMBER('16'!$G$11:$G$14), '16'!$G$11:$G$14), 2)</f>
        <v>0</v>
      </c>
      <c r="T22" s="9">
        <f t="shared" si="5"/>
        <v>0</v>
      </c>
      <c r="U22" s="10" t="str">
        <f>IF(OR(V22=0, V22="", COUNTIF('16'!$G$11:$G$14, V22)=0), "", INDEX('16'!$C$11:$C$14, MATCH(V22, '16'!$G$11:$G$14, 0)))</f>
        <v/>
      </c>
      <c r="V22" s="24">
        <f t="array" ref="V22">LARGE(IF(ISNUMBER('16'!$G$11:$G$14), '16'!$G$11:$G$14), 3)</f>
        <v>0</v>
      </c>
      <c r="W22" s="9">
        <f t="shared" si="6"/>
        <v>0</v>
      </c>
      <c r="X22" s="10" t="str">
        <f>IF(OR(Y22=0, Y22="", COUNTIF('16'!$G$11:$G$14, Y22)=0), "", INDEX('16'!$C$11:$C$14, MATCH(Y22, '16'!$G$11:$G$14, 0)))</f>
        <v/>
      </c>
      <c r="Y22" s="24">
        <f t="array" ref="Y22">LARGE(IF(ISNUMBER('16'!$G$11:$G$14), '16'!$G$11:$G$14), 4)</f>
        <v>0</v>
      </c>
      <c r="Z22" s="9">
        <f t="shared" si="7"/>
        <v>0</v>
      </c>
      <c r="AA22" s="11">
        <f t="shared" si="8"/>
        <v>47443</v>
      </c>
      <c r="AC22" s="29">
        <v>16</v>
      </c>
      <c r="AD22" s="32">
        <f t="shared" si="9"/>
        <v>33250</v>
      </c>
      <c r="AE22" s="50">
        <f t="shared" si="10"/>
        <v>0.7008410092110533</v>
      </c>
      <c r="AF22" s="32">
        <f t="shared" si="11"/>
        <v>14193</v>
      </c>
      <c r="AG22" s="51">
        <f t="shared" si="12"/>
        <v>0.29915899078894675</v>
      </c>
    </row>
    <row r="23" spans="2:33" x14ac:dyDescent="0.45">
      <c r="B23" s="13">
        <v>17</v>
      </c>
      <c r="C23" s="10" t="str">
        <f>IF(OR(D23=0, D23="", COUNTIF('17'!$G$6:$G$9, D23)=0), "", INDEX('17'!$C$6:$C$9, MATCH(D23, '17'!$G$6:$G$9, 0)))</f>
        <v>Acacia</v>
      </c>
      <c r="D23" s="23">
        <f t="array" ref="D23">LARGE(IF(ISNUMBER('17'!$G$6:$G$9), '17'!$G$6:$G$9), 1)</f>
        <v>39250</v>
      </c>
      <c r="E23" s="8">
        <f t="shared" si="0"/>
        <v>0.88243890375233258</v>
      </c>
      <c r="F23" s="10" t="str">
        <f>IF(OR(G23=0, G23="", COUNTIF('17'!$G$6:$G$9, G23)=0), "", INDEX('17'!$C$6:$C$9, MATCH(G23, '17'!$G$6:$G$9, 0)))</f>
        <v/>
      </c>
      <c r="G23" s="24">
        <f t="array" ref="G23">LARGE(IF(ISNUMBER('17'!$G$6:$G$9), '17'!$G$6:$G$9), 2)</f>
        <v>0</v>
      </c>
      <c r="H23" s="9">
        <f t="shared" si="1"/>
        <v>0</v>
      </c>
      <c r="I23" s="10" t="str">
        <f>IF(OR(J23=0, J23="", COUNTIF('17'!$G$6:$G$9, J23)=0), "", INDEX('17'!$C$6:$C$9, MATCH(J23, '17'!$G$6:$G$9, 0)))</f>
        <v/>
      </c>
      <c r="J23" s="24">
        <f t="array" ref="J23">LARGE(IF(ISNUMBER('17'!$G$6:$G$9), '17'!$G$6:$G$9), 3)</f>
        <v>0</v>
      </c>
      <c r="K23" s="9">
        <f t="shared" si="2"/>
        <v>0</v>
      </c>
      <c r="L23" s="10" t="str">
        <f>IF(OR(M23=0, M23="", COUNTIF('17'!$G$6:$G$9, M23)=0), "", INDEX('17'!$C$6:$C$9, MATCH(M23, '17'!$G$6:$G$9, 0)))</f>
        <v/>
      </c>
      <c r="M23" s="24">
        <f t="array" ref="M23">LARGE(IF(ISNUMBER('17'!$G$6:$G$9), '17'!$G$6:$G$9), 4)</f>
        <v>0</v>
      </c>
      <c r="N23" s="9">
        <f t="shared" si="3"/>
        <v>0</v>
      </c>
      <c r="O23" s="10" t="str">
        <f>IF(OR(P23=0, P23="", COUNTIF('17'!$G$11:$G$14, P23)=0), "", INDEX('17'!$C$11:$C$14, MATCH(P23, '17'!$G$11:$G$14, 0)))</f>
        <v>멧자</v>
      </c>
      <c r="P23" s="23">
        <f t="array" ref="P23">LARGE(IF(ISNUMBER('17'!$G$11:$G$14), '17'!$G$11:$G$14), 1)</f>
        <v>5229</v>
      </c>
      <c r="Q23" s="8">
        <f t="shared" si="4"/>
        <v>0.11756109624766743</v>
      </c>
      <c r="R23" s="10" t="str">
        <f>IF(OR(S23=0, S23="", COUNTIF('17'!$G$11:$G$14, S23)=0), "", INDEX('17'!$C$11:$C$14, MATCH(S23, '17'!$G$11:$G$14, 0)))</f>
        <v/>
      </c>
      <c r="S23" s="24">
        <f t="array" ref="S23">LARGE(IF(ISNUMBER('17'!$G$11:$G$14), '17'!$G$11:$G$14), 2)</f>
        <v>0</v>
      </c>
      <c r="T23" s="9">
        <f t="shared" si="5"/>
        <v>0</v>
      </c>
      <c r="U23" s="10" t="str">
        <f>IF(OR(V23=0, V23="", COUNTIF('17'!$G$11:$G$14, V23)=0), "", INDEX('17'!$C$11:$C$14, MATCH(V23, '17'!$G$11:$G$14, 0)))</f>
        <v/>
      </c>
      <c r="V23" s="24">
        <f t="array" ref="V23">LARGE(IF(ISNUMBER('17'!$G$11:$G$14), '17'!$G$11:$G$14), 3)</f>
        <v>0</v>
      </c>
      <c r="W23" s="9">
        <f t="shared" si="6"/>
        <v>0</v>
      </c>
      <c r="X23" s="10" t="str">
        <f>IF(OR(Y23=0, Y23="", COUNTIF('17'!$G$11:$G$14, Y23)=0), "", INDEX('17'!$C$11:$C$14, MATCH(Y23, '17'!$G$11:$G$14, 0)))</f>
        <v/>
      </c>
      <c r="Y23" s="24">
        <f t="array" ref="Y23">LARGE(IF(ISNUMBER('17'!$G$11:$G$14), '17'!$G$11:$G$14), 4)</f>
        <v>0</v>
      </c>
      <c r="Z23" s="9">
        <f t="shared" si="7"/>
        <v>0</v>
      </c>
      <c r="AA23" s="11">
        <f t="shared" si="8"/>
        <v>44479</v>
      </c>
      <c r="AC23" s="29">
        <v>17</v>
      </c>
      <c r="AD23" s="32">
        <f t="shared" si="9"/>
        <v>39250</v>
      </c>
      <c r="AE23" s="50">
        <f t="shared" si="10"/>
        <v>0.88243890375233258</v>
      </c>
      <c r="AF23" s="32">
        <f t="shared" si="11"/>
        <v>5229</v>
      </c>
      <c r="AG23" s="51">
        <f t="shared" si="12"/>
        <v>0.11756109624766743</v>
      </c>
    </row>
    <row r="24" spans="2:33" x14ac:dyDescent="0.45">
      <c r="B24" s="13">
        <v>18</v>
      </c>
      <c r="C24" s="10" t="str">
        <f>IF(OR(D24=0, D24="", COUNTIF('18'!$G$6:$G$9, D24)=0), "", INDEX('18'!$C$6:$C$9, MATCH(D24, '18'!$G$6:$G$9, 0)))</f>
        <v>Acacia</v>
      </c>
      <c r="D24" s="23">
        <f t="array" ref="D24">LARGE(IF(ISNUMBER('18'!$G$6:$G$9), '18'!$G$6:$G$9), 1)</f>
        <v>49250</v>
      </c>
      <c r="E24" s="8">
        <f t="shared" si="0"/>
        <v>0.91235805190715247</v>
      </c>
      <c r="F24" s="10" t="str">
        <f>IF(OR(G24=0, G24="", COUNTIF('18'!$G$6:$G$9, G24)=0), "", INDEX('18'!$C$6:$C$9, MATCH(G24, '18'!$G$6:$G$9, 0)))</f>
        <v/>
      </c>
      <c r="G24" s="24">
        <f t="array" ref="G24">LARGE(IF(ISNUMBER('18'!$G$6:$G$9), '18'!$G$6:$G$9), 2)</f>
        <v>0</v>
      </c>
      <c r="H24" s="9">
        <f t="shared" si="1"/>
        <v>0</v>
      </c>
      <c r="I24" s="10" t="str">
        <f>IF(OR(J24=0, J24="", COUNTIF('18'!$G$6:$G$9, J24)=0), "", INDEX('18'!$C$6:$C$9, MATCH(J24, '18'!$G$6:$G$9, 0)))</f>
        <v/>
      </c>
      <c r="J24" s="24">
        <f t="array" ref="J24">LARGE(IF(ISNUMBER('18'!$G$6:$G$9), '18'!$G$6:$G$9), 3)</f>
        <v>0</v>
      </c>
      <c r="K24" s="9">
        <f t="shared" si="2"/>
        <v>0</v>
      </c>
      <c r="L24" s="10" t="str">
        <f>IF(OR(M24=0, M24="", COUNTIF('18'!$G$6:$G$9, M24)=0), "", INDEX('18'!$C$6:$C$9, MATCH(M24, '18'!$G$6:$G$9, 0)))</f>
        <v/>
      </c>
      <c r="M24" s="24">
        <f t="array" ref="M24">LARGE(IF(ISNUMBER('18'!$G$6:$G$9), '18'!$G$6:$G$9), 4)</f>
        <v>0</v>
      </c>
      <c r="N24" s="9">
        <f t="shared" si="3"/>
        <v>0</v>
      </c>
      <c r="O24" s="10" t="str">
        <f>IF(OR(P24=0, P24="", COUNTIF('18'!$G$11:$G$14, P24)=0), "", INDEX('18'!$C$11:$C$14, MATCH(P24, '18'!$G$11:$G$14, 0)))</f>
        <v>멧자</v>
      </c>
      <c r="P24" s="23">
        <f t="array" ref="P24">LARGE(IF(ISNUMBER('18'!$G$11:$G$14), '18'!$G$11:$G$14), 1)</f>
        <v>4731</v>
      </c>
      <c r="Q24" s="8">
        <f t="shared" si="4"/>
        <v>8.7641948092847477E-2</v>
      </c>
      <c r="R24" s="10" t="str">
        <f>IF(OR(S24=0, S24="", COUNTIF('18'!$G$11:$G$14, S24)=0), "", INDEX('18'!$C$11:$C$14, MATCH(S24, '18'!$G$11:$G$14, 0)))</f>
        <v/>
      </c>
      <c r="S24" s="24">
        <f t="array" ref="S24">LARGE(IF(ISNUMBER('18'!$G$11:$G$14), '18'!$G$11:$G$14), 2)</f>
        <v>0</v>
      </c>
      <c r="T24" s="9">
        <f t="shared" si="5"/>
        <v>0</v>
      </c>
      <c r="U24" s="10" t="str">
        <f>IF(OR(V24=0, V24="", COUNTIF('18'!$G$11:$G$14, V24)=0), "", INDEX('18'!$C$11:$C$14, MATCH(V24, '18'!$G$11:$G$14, 0)))</f>
        <v/>
      </c>
      <c r="V24" s="24">
        <f t="array" ref="V24">LARGE(IF(ISNUMBER('18'!$G$11:$G$14), '18'!$G$11:$G$14), 3)</f>
        <v>0</v>
      </c>
      <c r="W24" s="9">
        <f t="shared" si="6"/>
        <v>0</v>
      </c>
      <c r="X24" s="10" t="str">
        <f>IF(OR(Y24=0, Y24="", COUNTIF('18'!$G$11:$G$14, Y24)=0), "", INDEX('18'!$C$11:$C$14, MATCH(Y24, '18'!$G$11:$G$14, 0)))</f>
        <v/>
      </c>
      <c r="Y24" s="24">
        <f t="array" ref="Y24">LARGE(IF(ISNUMBER('18'!$G$11:$G$14), '18'!$G$11:$G$14), 4)</f>
        <v>0</v>
      </c>
      <c r="Z24" s="9">
        <f t="shared" si="7"/>
        <v>0</v>
      </c>
      <c r="AA24" s="11">
        <f t="shared" si="8"/>
        <v>53981</v>
      </c>
      <c r="AC24" s="29">
        <v>18</v>
      </c>
      <c r="AD24" s="32">
        <f t="shared" si="9"/>
        <v>49250</v>
      </c>
      <c r="AE24" s="50">
        <f t="shared" si="10"/>
        <v>0.91235805190715247</v>
      </c>
      <c r="AF24" s="32">
        <f t="shared" si="11"/>
        <v>4731</v>
      </c>
      <c r="AG24" s="51">
        <f t="shared" si="12"/>
        <v>8.7641948092847477E-2</v>
      </c>
    </row>
    <row r="25" spans="2:33" x14ac:dyDescent="0.45">
      <c r="B25" s="13">
        <v>19</v>
      </c>
      <c r="C25" s="10" t="str">
        <f>IF(OR(D25=0, D25="", COUNTIF('19'!$G$6:$G$9, D25)=0), "", INDEX('19'!$C$6:$C$9, MATCH(D25, '19'!$G$6:$G$9, 0)))</f>
        <v>Acacia</v>
      </c>
      <c r="D25" s="23">
        <f t="array" ref="D25">LARGE(IF(ISNUMBER('19'!$G$6:$G$9), '19'!$G$6:$G$9), 1)</f>
        <v>43750</v>
      </c>
      <c r="E25" s="8">
        <f t="shared" si="0"/>
        <v>0.8978042273753335</v>
      </c>
      <c r="F25" s="10" t="str">
        <f>IF(OR(G25=0, G25="", COUNTIF('19'!$G$6:$G$9, G25)=0), "", INDEX('19'!$C$6:$C$9, MATCH(G25, '19'!$G$6:$G$9, 0)))</f>
        <v/>
      </c>
      <c r="G25" s="24">
        <f t="array" ref="G25">LARGE(IF(ISNUMBER('19'!$G$6:$G$9), '19'!$G$6:$G$9), 2)</f>
        <v>0</v>
      </c>
      <c r="H25" s="9">
        <f t="shared" si="1"/>
        <v>0</v>
      </c>
      <c r="I25" s="10" t="str">
        <f>IF(OR(J25=0, J25="", COUNTIF('19'!$G$6:$G$9, J25)=0), "", INDEX('19'!$C$6:$C$9, MATCH(J25, '19'!$G$6:$G$9, 0)))</f>
        <v/>
      </c>
      <c r="J25" s="24">
        <f t="array" ref="J25">LARGE(IF(ISNUMBER('19'!$G$6:$G$9), '19'!$G$6:$G$9), 3)</f>
        <v>0</v>
      </c>
      <c r="K25" s="9">
        <f t="shared" si="2"/>
        <v>0</v>
      </c>
      <c r="L25" s="10" t="str">
        <f>IF(OR(M25=0, M25="", COUNTIF('19'!$G$6:$G$9, M25)=0), "", INDEX('19'!$C$6:$C$9, MATCH(M25, '19'!$G$6:$G$9, 0)))</f>
        <v/>
      </c>
      <c r="M25" s="24">
        <f t="array" ref="M25">LARGE(IF(ISNUMBER('19'!$G$6:$G$9), '19'!$G$6:$G$9), 4)</f>
        <v>0</v>
      </c>
      <c r="N25" s="9">
        <f t="shared" si="3"/>
        <v>0</v>
      </c>
      <c r="O25" s="10" t="str">
        <f>IF(OR(P25=0, P25="", COUNTIF('19'!$G$11:$G$14, P25)=0), "", INDEX('19'!$C$11:$C$14, MATCH(P25, '19'!$G$11:$G$14, 0)))</f>
        <v>멧자</v>
      </c>
      <c r="P25" s="23">
        <f t="array" ref="P25">LARGE(IF(ISNUMBER('19'!$G$11:$G$14), '19'!$G$11:$G$14), 1)</f>
        <v>4980</v>
      </c>
      <c r="Q25" s="8">
        <f t="shared" si="4"/>
        <v>0.10219577262466653</v>
      </c>
      <c r="R25" s="10" t="str">
        <f>IF(OR(S25=0, S25="", COUNTIF('19'!$G$11:$G$14, S25)=0), "", INDEX('19'!$C$11:$C$14, MATCH(S25, '19'!$G$11:$G$14, 0)))</f>
        <v/>
      </c>
      <c r="S25" s="24">
        <f t="array" ref="S25">LARGE(IF(ISNUMBER('19'!$G$11:$G$14), '19'!$G$11:$G$14), 2)</f>
        <v>0</v>
      </c>
      <c r="T25" s="9">
        <f t="shared" si="5"/>
        <v>0</v>
      </c>
      <c r="U25" s="10" t="str">
        <f>IF(OR(V25=0, V25="", COUNTIF('19'!$G$11:$G$14, V25)=0), "", INDEX('19'!$C$11:$C$14, MATCH(V25, '19'!$G$11:$G$14, 0)))</f>
        <v/>
      </c>
      <c r="V25" s="24">
        <f t="array" ref="V25">LARGE(IF(ISNUMBER('19'!$G$11:$G$14), '19'!$G$11:$G$14), 3)</f>
        <v>0</v>
      </c>
      <c r="W25" s="9">
        <f t="shared" si="6"/>
        <v>0</v>
      </c>
      <c r="X25" s="10" t="str">
        <f>IF(OR(Y25=0, Y25="", COUNTIF('19'!$G$11:$G$14, Y25)=0), "", INDEX('19'!$C$11:$C$14, MATCH(Y25, '19'!$G$11:$G$14, 0)))</f>
        <v/>
      </c>
      <c r="Y25" s="24">
        <f t="array" ref="Y25">LARGE(IF(ISNUMBER('19'!$G$11:$G$14), '19'!$G$11:$G$14), 4)</f>
        <v>0</v>
      </c>
      <c r="Z25" s="9">
        <f t="shared" si="7"/>
        <v>0</v>
      </c>
      <c r="AA25" s="11">
        <f t="shared" si="8"/>
        <v>48730</v>
      </c>
      <c r="AC25" s="29">
        <v>19</v>
      </c>
      <c r="AD25" s="32">
        <f t="shared" si="9"/>
        <v>43750</v>
      </c>
      <c r="AE25" s="50">
        <f t="shared" si="10"/>
        <v>0.8978042273753335</v>
      </c>
      <c r="AF25" s="32">
        <f t="shared" si="11"/>
        <v>4980</v>
      </c>
      <c r="AG25" s="51">
        <f t="shared" si="12"/>
        <v>0.10219577262466653</v>
      </c>
    </row>
    <row r="26" spans="2:33" x14ac:dyDescent="0.45">
      <c r="B26" s="13">
        <v>20</v>
      </c>
      <c r="C26" s="10" t="str">
        <f>IF(OR(D26=0, D26="", COUNTIF('20'!$G$6:$G$9, D26)=0), "", INDEX('20'!$C$6:$C$9, MATCH(D26, '20'!$G$6:$G$9, 0)))</f>
        <v>Acacia</v>
      </c>
      <c r="D26" s="23">
        <f t="array" ref="D26">LARGE(IF(ISNUMBER('20'!$G$6:$G$9), '20'!$G$6:$G$9), 1)</f>
        <v>43000</v>
      </c>
      <c r="E26" s="8">
        <f t="shared" si="0"/>
        <v>0.90560633503222276</v>
      </c>
      <c r="F26" s="10" t="str">
        <f>IF(OR(G26=0, G26="", COUNTIF('20'!$G$6:$G$9, G26)=0), "", INDEX('20'!$C$6:$C$9, MATCH(G26, '20'!$G$6:$G$9, 0)))</f>
        <v/>
      </c>
      <c r="G26" s="24">
        <f t="array" ref="G26">LARGE(IF(ISNUMBER('20'!$G$6:$G$9), '20'!$G$6:$G$9), 2)</f>
        <v>0</v>
      </c>
      <c r="H26" s="9">
        <f t="shared" si="1"/>
        <v>0</v>
      </c>
      <c r="I26" s="10" t="str">
        <f>IF(OR(J26=0, J26="", COUNTIF('20'!$G$6:$G$9, J26)=0), "", INDEX('20'!$C$6:$C$9, MATCH(J26, '20'!$G$6:$G$9, 0)))</f>
        <v/>
      </c>
      <c r="J26" s="24">
        <f t="array" ref="J26">LARGE(IF(ISNUMBER('20'!$G$6:$G$9), '20'!$G$6:$G$9), 3)</f>
        <v>0</v>
      </c>
      <c r="K26" s="9">
        <f t="shared" si="2"/>
        <v>0</v>
      </c>
      <c r="L26" s="10" t="str">
        <f>IF(OR(M26=0, M26="", COUNTIF('20'!$G$6:$G$9, M26)=0), "", INDEX('20'!$C$6:$C$9, MATCH(M26, '20'!$G$6:$G$9, 0)))</f>
        <v/>
      </c>
      <c r="M26" s="24">
        <f t="array" ref="M26">LARGE(IF(ISNUMBER('20'!$G$6:$G$9), '20'!$G$6:$G$9), 4)</f>
        <v>0</v>
      </c>
      <c r="N26" s="9">
        <f t="shared" si="3"/>
        <v>0</v>
      </c>
      <c r="O26" s="10" t="str">
        <f>IF(OR(P26=0, P26="", COUNTIF('20'!$G$11:$G$14, P26)=0), "", INDEX('20'!$C$11:$C$14, MATCH(P26, '20'!$G$11:$G$14, 0)))</f>
        <v>멧자</v>
      </c>
      <c r="P26" s="23">
        <f t="array" ref="P26">LARGE(IF(ISNUMBER('20'!$G$11:$G$14), '20'!$G$11:$G$14), 1)</f>
        <v>4482</v>
      </c>
      <c r="Q26" s="8">
        <f t="shared" si="4"/>
        <v>9.4393664967777263E-2</v>
      </c>
      <c r="R26" s="10" t="str">
        <f>IF(OR(S26=0, S26="", COUNTIF('20'!$G$11:$G$14, S26)=0), "", INDEX('20'!$C$11:$C$14, MATCH(S26, '20'!$G$11:$G$14, 0)))</f>
        <v/>
      </c>
      <c r="S26" s="24">
        <f t="array" ref="S26">LARGE(IF(ISNUMBER('20'!$G$11:$G$14), '20'!$G$11:$G$14), 2)</f>
        <v>0</v>
      </c>
      <c r="T26" s="9">
        <f t="shared" si="5"/>
        <v>0</v>
      </c>
      <c r="U26" s="10" t="str">
        <f>IF(OR(V26=0, V26="", COUNTIF('20'!$G$11:$G$14, V26)=0), "", INDEX('20'!$C$11:$C$14, MATCH(V26, '20'!$G$11:$G$14, 0)))</f>
        <v/>
      </c>
      <c r="V26" s="24">
        <f t="array" ref="V26">LARGE(IF(ISNUMBER('20'!$G$11:$G$14), '20'!$G$11:$G$14), 3)</f>
        <v>0</v>
      </c>
      <c r="W26" s="9">
        <f t="shared" si="6"/>
        <v>0</v>
      </c>
      <c r="X26" s="10" t="str">
        <f>IF(OR(Y26=0, Y26="", COUNTIF('20'!$G$11:$G$14, Y26)=0), "", INDEX('20'!$C$11:$C$14, MATCH(Y26, '20'!$G$11:$G$14, 0)))</f>
        <v/>
      </c>
      <c r="Y26" s="24">
        <f t="array" ref="Y26">LARGE(IF(ISNUMBER('20'!$G$11:$G$14), '20'!$G$11:$G$14), 4)</f>
        <v>0</v>
      </c>
      <c r="Z26" s="9">
        <f t="shared" si="7"/>
        <v>0</v>
      </c>
      <c r="AA26" s="11">
        <f t="shared" si="8"/>
        <v>47482</v>
      </c>
      <c r="AC26" s="29">
        <v>20</v>
      </c>
      <c r="AD26" s="32">
        <f t="shared" si="9"/>
        <v>43000</v>
      </c>
      <c r="AE26" s="50">
        <f t="shared" si="10"/>
        <v>0.90560633503222276</v>
      </c>
      <c r="AF26" s="32">
        <f t="shared" si="11"/>
        <v>4482</v>
      </c>
      <c r="AG26" s="51">
        <f t="shared" si="12"/>
        <v>9.4393664967777263E-2</v>
      </c>
    </row>
    <row r="27" spans="2:33" x14ac:dyDescent="0.45">
      <c r="B27" s="13">
        <v>21</v>
      </c>
      <c r="C27" s="10" t="str">
        <f>IF(OR(D27=0, D27="", COUNTIF('21'!$G$6:$G$9, D27)=0), "", INDEX('21'!$C$6:$C$9, MATCH(D27, '21'!$G$6:$G$9, 0)))</f>
        <v>Acacia</v>
      </c>
      <c r="D27" s="23">
        <f t="array" ref="D27">LARGE(IF(ISNUMBER('21'!$G$6:$G$9), '21'!$G$6:$G$9), 1)</f>
        <v>42000</v>
      </c>
      <c r="E27" s="8">
        <f t="shared" si="0"/>
        <v>0.88928412627834597</v>
      </c>
      <c r="F27" s="10" t="str">
        <f>IF(OR(G27=0, G27="", COUNTIF('21'!$G$6:$G$9, G27)=0), "", INDEX('21'!$C$6:$C$9, MATCH(G27, '21'!$G$6:$G$9, 0)))</f>
        <v/>
      </c>
      <c r="G27" s="24">
        <f t="array" ref="G27">LARGE(IF(ISNUMBER('21'!$G$6:$G$9), '21'!$G$6:$G$9), 2)</f>
        <v>0</v>
      </c>
      <c r="H27" s="9">
        <f t="shared" si="1"/>
        <v>0</v>
      </c>
      <c r="I27" s="10" t="str">
        <f>IF(OR(J27=0, J27="", COUNTIF('21'!$G$6:$G$9, J27)=0), "", INDEX('21'!$C$6:$C$9, MATCH(J27, '21'!$G$6:$G$9, 0)))</f>
        <v/>
      </c>
      <c r="J27" s="24">
        <f t="array" ref="J27">LARGE(IF(ISNUMBER('21'!$G$6:$G$9), '21'!$G$6:$G$9), 3)</f>
        <v>0</v>
      </c>
      <c r="K27" s="9">
        <f t="shared" si="2"/>
        <v>0</v>
      </c>
      <c r="L27" s="10" t="str">
        <f>IF(OR(M27=0, M27="", COUNTIF('21'!$G$6:$G$9, M27)=0), "", INDEX('21'!$C$6:$C$9, MATCH(M27, '21'!$G$6:$G$9, 0)))</f>
        <v/>
      </c>
      <c r="M27" s="24">
        <f t="array" ref="M27">LARGE(IF(ISNUMBER('21'!$G$6:$G$9), '21'!$G$6:$G$9), 4)</f>
        <v>0</v>
      </c>
      <c r="N27" s="9">
        <f t="shared" si="3"/>
        <v>0</v>
      </c>
      <c r="O27" s="10" t="str">
        <f>IF(OR(P27=0, P27="", COUNTIF('21'!$G$11:$G$14, P27)=0), "", INDEX('21'!$C$11:$C$14, MATCH(P27, '21'!$G$11:$G$14, 0)))</f>
        <v>멧자</v>
      </c>
      <c r="P27" s="23">
        <f t="array" ref="P27">LARGE(IF(ISNUMBER('21'!$G$11:$G$14), '21'!$G$11:$G$14), 1)</f>
        <v>5229</v>
      </c>
      <c r="Q27" s="8">
        <f t="shared" si="4"/>
        <v>0.11071587372165406</v>
      </c>
      <c r="R27" s="10" t="str">
        <f>IF(OR(S27=0, S27="", COUNTIF('21'!$G$11:$G$14, S27)=0), "", INDEX('21'!$C$11:$C$14, MATCH(S27, '21'!$G$11:$G$14, 0)))</f>
        <v/>
      </c>
      <c r="S27" s="24">
        <f t="array" ref="S27">LARGE(IF(ISNUMBER('21'!$G$11:$G$14), '21'!$G$11:$G$14), 2)</f>
        <v>0</v>
      </c>
      <c r="T27" s="9">
        <f t="shared" si="5"/>
        <v>0</v>
      </c>
      <c r="U27" s="10" t="str">
        <f>IF(OR(V27=0, V27="", COUNTIF('21'!$G$11:$G$14, V27)=0), "", INDEX('21'!$C$11:$C$14, MATCH(V27, '21'!$G$11:$G$14, 0)))</f>
        <v/>
      </c>
      <c r="V27" s="24">
        <f t="array" ref="V27">LARGE(IF(ISNUMBER('21'!$G$11:$G$14), '21'!$G$11:$G$14), 3)</f>
        <v>0</v>
      </c>
      <c r="W27" s="9">
        <f t="shared" si="6"/>
        <v>0</v>
      </c>
      <c r="X27" s="10" t="str">
        <f>IF(OR(Y27=0, Y27="", COUNTIF('21'!$G$11:$G$14, Y27)=0), "", INDEX('21'!$C$11:$C$14, MATCH(Y27, '21'!$G$11:$G$14, 0)))</f>
        <v/>
      </c>
      <c r="Y27" s="24">
        <f t="array" ref="Y27">LARGE(IF(ISNUMBER('21'!$G$11:$G$14), '21'!$G$11:$G$14), 4)</f>
        <v>0</v>
      </c>
      <c r="Z27" s="9">
        <f t="shared" si="7"/>
        <v>0</v>
      </c>
      <c r="AA27" s="11">
        <f t="shared" si="8"/>
        <v>47229</v>
      </c>
      <c r="AC27" s="29">
        <v>21</v>
      </c>
      <c r="AD27" s="32">
        <f t="shared" si="9"/>
        <v>42000</v>
      </c>
      <c r="AE27" s="50">
        <f t="shared" si="10"/>
        <v>0.88928412627834597</v>
      </c>
      <c r="AF27" s="32">
        <f t="shared" si="11"/>
        <v>5229</v>
      </c>
      <c r="AG27" s="51">
        <f t="shared" si="12"/>
        <v>0.11071587372165406</v>
      </c>
    </row>
    <row r="28" spans="2:33" x14ac:dyDescent="0.45">
      <c r="B28" s="13">
        <v>22</v>
      </c>
      <c r="C28" s="10" t="str">
        <f>IF(OR(D28=0, D28="", COUNTIF('22'!$G$6:$G$9, D28)=0), "", INDEX('22'!$C$6:$C$9, MATCH(D28, '22'!$G$6:$G$9, 0)))</f>
        <v>Acacia</v>
      </c>
      <c r="D28" s="23">
        <f t="array" ref="D28">LARGE(IF(ISNUMBER('22'!$G$6:$G$9), '22'!$G$6:$G$9), 1)</f>
        <v>40750</v>
      </c>
      <c r="E28" s="8">
        <f t="shared" si="0"/>
        <v>0.89109993439755086</v>
      </c>
      <c r="F28" s="10" t="str">
        <f>IF(OR(G28=0, G28="", COUNTIF('22'!$G$6:$G$9, G28)=0), "", INDEX('22'!$C$6:$C$9, MATCH(G28, '22'!$G$6:$G$9, 0)))</f>
        <v/>
      </c>
      <c r="G28" s="24">
        <f t="array" ref="G28">LARGE(IF(ISNUMBER('22'!$G$6:$G$9), '22'!$G$6:$G$9), 2)</f>
        <v>0</v>
      </c>
      <c r="H28" s="9">
        <f t="shared" si="1"/>
        <v>0</v>
      </c>
      <c r="I28" s="10" t="str">
        <f>IF(OR(J28=0, J28="", COUNTIF('22'!$G$6:$G$9, J28)=0), "", INDEX('22'!$C$6:$C$9, MATCH(J28, '22'!$G$6:$G$9, 0)))</f>
        <v/>
      </c>
      <c r="J28" s="24">
        <f t="array" ref="J28">LARGE(IF(ISNUMBER('22'!$G$6:$G$9), '22'!$G$6:$G$9), 3)</f>
        <v>0</v>
      </c>
      <c r="K28" s="9">
        <f t="shared" si="2"/>
        <v>0</v>
      </c>
      <c r="L28" s="10" t="str">
        <f>IF(OR(M28=0, M28="", COUNTIF('22'!$G$6:$G$9, M28)=0), "", INDEX('22'!$C$6:$C$9, MATCH(M28, '22'!$G$6:$G$9, 0)))</f>
        <v/>
      </c>
      <c r="M28" s="24">
        <f t="array" ref="M28">LARGE(IF(ISNUMBER('22'!$G$6:$G$9), '22'!$G$6:$G$9), 4)</f>
        <v>0</v>
      </c>
      <c r="N28" s="9">
        <f t="shared" si="3"/>
        <v>0</v>
      </c>
      <c r="O28" s="10" t="str">
        <f>IF(OR(P28=0, P28="", COUNTIF('22'!$G$11:$G$14, P28)=0), "", INDEX('22'!$C$11:$C$14, MATCH(P28, '22'!$G$11:$G$14, 0)))</f>
        <v>멧자</v>
      </c>
      <c r="P28" s="23">
        <f t="array" ref="P28">LARGE(IF(ISNUMBER('22'!$G$11:$G$14), '22'!$G$11:$G$14), 1)</f>
        <v>4980</v>
      </c>
      <c r="Q28" s="8">
        <f t="shared" si="4"/>
        <v>0.10890006560244916</v>
      </c>
      <c r="R28" s="10" t="str">
        <f>IF(OR(S28=0, S28="", COUNTIF('22'!$G$11:$G$14, S28)=0), "", INDEX('22'!$C$11:$C$14, MATCH(S28, '22'!$G$11:$G$14, 0)))</f>
        <v/>
      </c>
      <c r="S28" s="24">
        <f t="array" ref="S28">LARGE(IF(ISNUMBER('22'!$G$11:$G$14), '22'!$G$11:$G$14), 2)</f>
        <v>0</v>
      </c>
      <c r="T28" s="9">
        <f t="shared" si="5"/>
        <v>0</v>
      </c>
      <c r="U28" s="10" t="str">
        <f>IF(OR(V28=0, V28="", COUNTIF('22'!$G$11:$G$14, V28)=0), "", INDEX('22'!$C$11:$C$14, MATCH(V28, '22'!$G$11:$G$14, 0)))</f>
        <v/>
      </c>
      <c r="V28" s="24">
        <f t="array" ref="V28">LARGE(IF(ISNUMBER('22'!$G$11:$G$14), '22'!$G$11:$G$14), 3)</f>
        <v>0</v>
      </c>
      <c r="W28" s="9">
        <f t="shared" si="6"/>
        <v>0</v>
      </c>
      <c r="X28" s="10" t="str">
        <f>IF(OR(Y28=0, Y28="", COUNTIF('22'!$G$11:$G$14, Y28)=0), "", INDEX('22'!$C$11:$C$14, MATCH(Y28, '22'!$G$11:$G$14, 0)))</f>
        <v/>
      </c>
      <c r="Y28" s="24">
        <f t="array" ref="Y28">LARGE(IF(ISNUMBER('22'!$G$11:$G$14), '22'!$G$11:$G$14), 4)</f>
        <v>0</v>
      </c>
      <c r="Z28" s="9">
        <f t="shared" si="7"/>
        <v>0</v>
      </c>
      <c r="AA28" s="11">
        <f t="shared" si="8"/>
        <v>45730</v>
      </c>
      <c r="AC28" s="29">
        <v>22</v>
      </c>
      <c r="AD28" s="32">
        <f t="shared" si="9"/>
        <v>40750</v>
      </c>
      <c r="AE28" s="50">
        <f t="shared" si="10"/>
        <v>0.89109993439755086</v>
      </c>
      <c r="AF28" s="32">
        <f t="shared" si="11"/>
        <v>4980</v>
      </c>
      <c r="AG28" s="51">
        <f t="shared" si="12"/>
        <v>0.10890006560244916</v>
      </c>
    </row>
    <row r="29" spans="2:33" x14ac:dyDescent="0.45">
      <c r="B29" s="13">
        <v>23</v>
      </c>
      <c r="C29" s="10" t="str">
        <f>IF(OR(D29=0, D29="", COUNTIF('23'!$G$6:$G$9, D29)=0), "", INDEX('23'!$C$6:$C$9, MATCH(D29, '23'!$G$6:$G$9, 0)))</f>
        <v>Acacia</v>
      </c>
      <c r="D29" s="23">
        <f t="array" ref="D29">LARGE(IF(ISNUMBER('23'!$G$6:$G$9), '23'!$G$6:$G$9), 1)</f>
        <v>49500</v>
      </c>
      <c r="E29" s="8">
        <f t="shared" si="0"/>
        <v>0.9003601440576231</v>
      </c>
      <c r="F29" s="10" t="str">
        <f>IF(OR(G29=0, G29="", COUNTIF('23'!$G$6:$G$9, G29)=0), "", INDEX('23'!$C$6:$C$9, MATCH(G29, '23'!$G$6:$G$9, 0)))</f>
        <v/>
      </c>
      <c r="G29" s="24">
        <f t="array" ref="G29">LARGE(IF(ISNUMBER('23'!$G$6:$G$9), '23'!$G$6:$G$9), 2)</f>
        <v>0</v>
      </c>
      <c r="H29" s="9">
        <f t="shared" si="1"/>
        <v>0</v>
      </c>
      <c r="I29" s="10" t="str">
        <f>IF(OR(J29=0, J29="", COUNTIF('23'!$G$6:$G$9, J29)=0), "", INDEX('23'!$C$6:$C$9, MATCH(J29, '23'!$G$6:$G$9, 0)))</f>
        <v/>
      </c>
      <c r="J29" s="24">
        <f t="array" ref="J29">LARGE(IF(ISNUMBER('23'!$G$6:$G$9), '23'!$G$6:$G$9), 3)</f>
        <v>0</v>
      </c>
      <c r="K29" s="9">
        <f t="shared" si="2"/>
        <v>0</v>
      </c>
      <c r="L29" s="10" t="str">
        <f>IF(OR(M29=0, M29="", COUNTIF('23'!$G$6:$G$9, M29)=0), "", INDEX('23'!$C$6:$C$9, MATCH(M29, '23'!$G$6:$G$9, 0)))</f>
        <v/>
      </c>
      <c r="M29" s="24">
        <f t="array" ref="M29">LARGE(IF(ISNUMBER('23'!$G$6:$G$9), '23'!$G$6:$G$9), 4)</f>
        <v>0</v>
      </c>
      <c r="N29" s="9">
        <f t="shared" si="3"/>
        <v>0</v>
      </c>
      <c r="O29" s="10" t="str">
        <f>IF(OR(P29=0, P29="", COUNTIF('23'!$G$11:$G$14, P29)=0), "", INDEX('23'!$C$11:$C$14, MATCH(P29, '23'!$G$11:$G$14, 0)))</f>
        <v>멧자</v>
      </c>
      <c r="P29" s="23">
        <f t="array" ref="P29">LARGE(IF(ISNUMBER('23'!$G$11:$G$14), '23'!$G$11:$G$14), 1)</f>
        <v>5478</v>
      </c>
      <c r="Q29" s="8">
        <f t="shared" si="4"/>
        <v>9.9639855942376954E-2</v>
      </c>
      <c r="R29" s="10" t="str">
        <f>IF(OR(S29=0, S29="", COUNTIF('23'!$G$11:$G$14, S29)=0), "", INDEX('23'!$C$11:$C$14, MATCH(S29, '23'!$G$11:$G$14, 0)))</f>
        <v/>
      </c>
      <c r="S29" s="24">
        <f t="array" ref="S29">LARGE(IF(ISNUMBER('23'!$G$11:$G$14), '23'!$G$11:$G$14), 2)</f>
        <v>0</v>
      </c>
      <c r="T29" s="9">
        <f t="shared" si="5"/>
        <v>0</v>
      </c>
      <c r="U29" s="10" t="str">
        <f>IF(OR(V29=0, V29="", COUNTIF('23'!$G$11:$G$14, V29)=0), "", INDEX('23'!$C$11:$C$14, MATCH(V29, '23'!$G$11:$G$14, 0)))</f>
        <v/>
      </c>
      <c r="V29" s="24">
        <f t="array" ref="V29">LARGE(IF(ISNUMBER('23'!$G$11:$G$14), '23'!$G$11:$G$14), 3)</f>
        <v>0</v>
      </c>
      <c r="W29" s="9">
        <f t="shared" si="6"/>
        <v>0</v>
      </c>
      <c r="X29" s="10" t="str">
        <f>IF(OR(Y29=0, Y29="", COUNTIF('23'!$G$11:$G$14, Y29)=0), "", INDEX('23'!$C$11:$C$14, MATCH(Y29, '23'!$G$11:$G$14, 0)))</f>
        <v/>
      </c>
      <c r="Y29" s="24">
        <f t="array" ref="Y29">LARGE(IF(ISNUMBER('23'!$G$11:$G$14), '23'!$G$11:$G$14), 4)</f>
        <v>0</v>
      </c>
      <c r="Z29" s="9">
        <f t="shared" si="7"/>
        <v>0</v>
      </c>
      <c r="AA29" s="11">
        <f t="shared" si="8"/>
        <v>54978</v>
      </c>
      <c r="AC29" s="29">
        <v>23</v>
      </c>
      <c r="AD29" s="32">
        <f t="shared" si="9"/>
        <v>49500</v>
      </c>
      <c r="AE29" s="50">
        <f t="shared" si="10"/>
        <v>0.9003601440576231</v>
      </c>
      <c r="AF29" s="32">
        <f t="shared" si="11"/>
        <v>5478</v>
      </c>
      <c r="AG29" s="51">
        <f t="shared" si="12"/>
        <v>9.9639855942376954E-2</v>
      </c>
    </row>
    <row r="30" spans="2:33" x14ac:dyDescent="0.45">
      <c r="B30" s="13">
        <v>24</v>
      </c>
      <c r="C30" s="10" t="str">
        <f>IF(OR(D30=0, D30="", COUNTIF('24'!$G$6:$G$9, D30)=0), "", INDEX('24'!$C$6:$C$9, MATCH(D30, '24'!$G$6:$G$9, 0)))</f>
        <v>Acacia</v>
      </c>
      <c r="D30" s="23">
        <f t="array" ref="D30">LARGE(IF(ISNUMBER('24'!$G$6:$G$9), '24'!$G$6:$G$9), 1)</f>
        <v>44000</v>
      </c>
      <c r="E30" s="8">
        <f t="shared" si="0"/>
        <v>0.88928412627834597</v>
      </c>
      <c r="F30" s="10" t="str">
        <f>IF(OR(G30=0, G30="", COUNTIF('24'!$G$6:$G$9, G30)=0), "", INDEX('24'!$C$6:$C$9, MATCH(G30, '24'!$G$6:$G$9, 0)))</f>
        <v/>
      </c>
      <c r="G30" s="24">
        <f t="array" ref="G30">LARGE(IF(ISNUMBER('24'!$G$6:$G$9), '24'!$G$6:$G$9), 2)</f>
        <v>0</v>
      </c>
      <c r="H30" s="9">
        <f t="shared" si="1"/>
        <v>0</v>
      </c>
      <c r="I30" s="10" t="str">
        <f>IF(OR(J30=0, J30="", COUNTIF('24'!$G$6:$G$9, J30)=0), "", INDEX('24'!$C$6:$C$9, MATCH(J30, '24'!$G$6:$G$9, 0)))</f>
        <v/>
      </c>
      <c r="J30" s="24">
        <f t="array" ref="J30">LARGE(IF(ISNUMBER('24'!$G$6:$G$9), '24'!$G$6:$G$9), 3)</f>
        <v>0</v>
      </c>
      <c r="K30" s="9">
        <f t="shared" si="2"/>
        <v>0</v>
      </c>
      <c r="L30" s="10" t="str">
        <f>IF(OR(M30=0, M30="", COUNTIF('24'!$G$6:$G$9, M30)=0), "", INDEX('24'!$C$6:$C$9, MATCH(M30, '24'!$G$6:$G$9, 0)))</f>
        <v/>
      </c>
      <c r="M30" s="24">
        <f t="array" ref="M30">LARGE(IF(ISNUMBER('24'!$G$6:$G$9), '24'!$G$6:$G$9), 4)</f>
        <v>0</v>
      </c>
      <c r="N30" s="9">
        <f t="shared" si="3"/>
        <v>0</v>
      </c>
      <c r="O30" s="10" t="str">
        <f>IF(OR(P30=0, P30="", COUNTIF('24'!$G$11:$G$14, P30)=0), "", INDEX('24'!$C$11:$C$14, MATCH(P30, '24'!$G$11:$G$14, 0)))</f>
        <v>멧자</v>
      </c>
      <c r="P30" s="23">
        <f t="array" ref="P30">LARGE(IF(ISNUMBER('24'!$G$11:$G$14), '24'!$G$11:$G$14), 1)</f>
        <v>5478</v>
      </c>
      <c r="Q30" s="8">
        <f t="shared" si="4"/>
        <v>0.11071587372165406</v>
      </c>
      <c r="R30" s="10" t="str">
        <f>IF(OR(S30=0, S30="", COUNTIF('24'!$G$11:$G$14, S30)=0), "", INDEX('24'!$C$11:$C$14, MATCH(S30, '24'!$G$11:$G$14, 0)))</f>
        <v/>
      </c>
      <c r="S30" s="24">
        <f t="array" ref="S30">LARGE(IF(ISNUMBER('24'!$G$11:$G$14), '24'!$G$11:$G$14), 2)</f>
        <v>0</v>
      </c>
      <c r="T30" s="9">
        <f t="shared" si="5"/>
        <v>0</v>
      </c>
      <c r="U30" s="10" t="str">
        <f>IF(OR(V30=0, V30="", COUNTIF('24'!$G$11:$G$14, V30)=0), "", INDEX('24'!$C$11:$C$14, MATCH(V30, '24'!$G$11:$G$14, 0)))</f>
        <v/>
      </c>
      <c r="V30" s="24">
        <f t="array" ref="V30">LARGE(IF(ISNUMBER('24'!$G$11:$G$14), '24'!$G$11:$G$14), 3)</f>
        <v>0</v>
      </c>
      <c r="W30" s="9">
        <f t="shared" si="6"/>
        <v>0</v>
      </c>
      <c r="X30" s="10" t="str">
        <f>IF(OR(Y30=0, Y30="", COUNTIF('24'!$G$11:$G$14, Y30)=0), "", INDEX('24'!$C$11:$C$14, MATCH(Y30, '24'!$G$11:$G$14, 0)))</f>
        <v/>
      </c>
      <c r="Y30" s="24">
        <f t="array" ref="Y30">LARGE(IF(ISNUMBER('24'!$G$11:$G$14), '24'!$G$11:$G$14), 4)</f>
        <v>0</v>
      </c>
      <c r="Z30" s="9">
        <f t="shared" si="7"/>
        <v>0</v>
      </c>
      <c r="AA30" s="11">
        <f t="shared" si="8"/>
        <v>49478</v>
      </c>
      <c r="AC30" s="29">
        <v>24</v>
      </c>
      <c r="AD30" s="32">
        <f t="shared" si="9"/>
        <v>44000</v>
      </c>
      <c r="AE30" s="50">
        <f t="shared" si="10"/>
        <v>0.88928412627834597</v>
      </c>
      <c r="AF30" s="32">
        <f t="shared" si="11"/>
        <v>5478</v>
      </c>
      <c r="AG30" s="51">
        <f t="shared" si="12"/>
        <v>0.11071587372165406</v>
      </c>
    </row>
    <row r="31" spans="2:33" x14ac:dyDescent="0.45">
      <c r="B31" s="13">
        <v>25</v>
      </c>
      <c r="C31" s="10" t="str">
        <f>IF(OR(D31=0, D31="", COUNTIF('25'!$G$6:$G$9, D31)=0), "", INDEX('25'!$C$6:$C$9, MATCH(D31, '25'!$G$6:$G$9, 0)))</f>
        <v>Acacia</v>
      </c>
      <c r="D31" s="23">
        <f t="array" ref="D31">LARGE(IF(ISNUMBER('25'!$G$6:$G$9), '25'!$G$6:$G$9), 1)</f>
        <v>46000</v>
      </c>
      <c r="E31" s="8">
        <f t="shared" si="0"/>
        <v>0.88928412627834597</v>
      </c>
      <c r="F31" s="10" t="str">
        <f>IF(OR(G31=0, G31="", COUNTIF('25'!$G$6:$G$9, G31)=0), "", INDEX('25'!$C$6:$C$9, MATCH(G31, '25'!$G$6:$G$9, 0)))</f>
        <v/>
      </c>
      <c r="G31" s="24">
        <f t="array" ref="G31">LARGE(IF(ISNUMBER('25'!$G$6:$G$9), '25'!$G$6:$G$9), 2)</f>
        <v>0</v>
      </c>
      <c r="H31" s="9">
        <f t="shared" si="1"/>
        <v>0</v>
      </c>
      <c r="I31" s="10" t="str">
        <f>IF(OR(J31=0, J31="", COUNTIF('25'!$G$6:$G$9, J31)=0), "", INDEX('25'!$C$6:$C$9, MATCH(J31, '25'!$G$6:$G$9, 0)))</f>
        <v/>
      </c>
      <c r="J31" s="24">
        <f t="array" ref="J31">LARGE(IF(ISNUMBER('25'!$G$6:$G$9), '25'!$G$6:$G$9), 3)</f>
        <v>0</v>
      </c>
      <c r="K31" s="9">
        <f t="shared" si="2"/>
        <v>0</v>
      </c>
      <c r="L31" s="10" t="str">
        <f>IF(OR(M31=0, M31="", COUNTIF('25'!$G$6:$G$9, M31)=0), "", INDEX('25'!$C$6:$C$9, MATCH(M31, '25'!$G$6:$G$9, 0)))</f>
        <v/>
      </c>
      <c r="M31" s="24">
        <f t="array" ref="M31">LARGE(IF(ISNUMBER('25'!$G$6:$G$9), '25'!$G$6:$G$9), 4)</f>
        <v>0</v>
      </c>
      <c r="N31" s="9">
        <f t="shared" si="3"/>
        <v>0</v>
      </c>
      <c r="O31" s="10" t="str">
        <f>IF(OR(P31=0, P31="", COUNTIF('25'!$G$11:$G$14, P31)=0), "", INDEX('25'!$C$11:$C$14, MATCH(P31, '25'!$G$11:$G$14, 0)))</f>
        <v>멧자</v>
      </c>
      <c r="P31" s="23">
        <f t="array" ref="P31">LARGE(IF(ISNUMBER('25'!$G$11:$G$14), '25'!$G$11:$G$14), 1)</f>
        <v>5727</v>
      </c>
      <c r="Q31" s="8">
        <f t="shared" si="4"/>
        <v>0.11071587372165406</v>
      </c>
      <c r="R31" s="10" t="str">
        <f>IF(OR(S31=0, S31="", COUNTIF('25'!$G$11:$G$14, S31)=0), "", INDEX('25'!$C$11:$C$14, MATCH(S31, '25'!$G$11:$G$14, 0)))</f>
        <v/>
      </c>
      <c r="S31" s="24">
        <f t="array" ref="S31">LARGE(IF(ISNUMBER('25'!$G$11:$G$14), '25'!$G$11:$G$14), 2)</f>
        <v>0</v>
      </c>
      <c r="T31" s="9">
        <f t="shared" si="5"/>
        <v>0</v>
      </c>
      <c r="U31" s="10" t="str">
        <f>IF(OR(V31=0, V31="", COUNTIF('25'!$G$11:$G$14, V31)=0), "", INDEX('25'!$C$11:$C$14, MATCH(V31, '25'!$G$11:$G$14, 0)))</f>
        <v/>
      </c>
      <c r="V31" s="24">
        <f t="array" ref="V31">LARGE(IF(ISNUMBER('25'!$G$11:$G$14), '25'!$G$11:$G$14), 3)</f>
        <v>0</v>
      </c>
      <c r="W31" s="9">
        <f t="shared" si="6"/>
        <v>0</v>
      </c>
      <c r="X31" s="10" t="str">
        <f>IF(OR(Y31=0, Y31="", COUNTIF('25'!$G$11:$G$14, Y31)=0), "", INDEX('25'!$C$11:$C$14, MATCH(Y31, '25'!$G$11:$G$14, 0)))</f>
        <v/>
      </c>
      <c r="Y31" s="24">
        <f t="array" ref="Y31">LARGE(IF(ISNUMBER('25'!$G$11:$G$14), '25'!$G$11:$G$14), 4)</f>
        <v>0</v>
      </c>
      <c r="Z31" s="9">
        <f t="shared" si="7"/>
        <v>0</v>
      </c>
      <c r="AA31" s="11">
        <f t="shared" si="8"/>
        <v>51727</v>
      </c>
      <c r="AC31" s="29">
        <v>25</v>
      </c>
      <c r="AD31" s="32">
        <f t="shared" si="9"/>
        <v>46000</v>
      </c>
      <c r="AE31" s="50">
        <f t="shared" si="10"/>
        <v>0.88928412627834597</v>
      </c>
      <c r="AF31" s="32">
        <f t="shared" si="11"/>
        <v>5727</v>
      </c>
      <c r="AG31" s="51">
        <f t="shared" si="12"/>
        <v>0.11071587372165406</v>
      </c>
    </row>
    <row r="32" spans="2:33" x14ac:dyDescent="0.45">
      <c r="B32" s="13">
        <v>26</v>
      </c>
      <c r="C32" s="10" t="str">
        <f>IF(OR(D32=0, D32="", COUNTIF('26'!$G$6:$G$9, D32)=0), "", INDEX('26'!$C$6:$C$9, MATCH(D32, '26'!$G$6:$G$9, 0)))</f>
        <v>Acacia</v>
      </c>
      <c r="D32" s="23">
        <f t="array" ref="D32">LARGE(IF(ISNUMBER('26'!$G$6:$G$9), '26'!$G$6:$G$9), 1)</f>
        <v>47000</v>
      </c>
      <c r="E32" s="8">
        <f t="shared" si="0"/>
        <v>0.79725878680960782</v>
      </c>
      <c r="F32" s="10" t="str">
        <f>IF(OR(G32=0, G32="", COUNTIF('26'!$G$6:$G$9, G32)=0), "", INDEX('26'!$C$6:$C$9, MATCH(G32, '26'!$G$6:$G$9, 0)))</f>
        <v/>
      </c>
      <c r="G32" s="24">
        <f t="array" ref="G32">LARGE(IF(ISNUMBER('26'!$G$6:$G$9), '26'!$G$6:$G$9), 2)</f>
        <v>0</v>
      </c>
      <c r="H32" s="9">
        <f t="shared" si="1"/>
        <v>0</v>
      </c>
      <c r="I32" s="10" t="str">
        <f>IF(OR(J32=0, J32="", COUNTIF('26'!$G$6:$G$9, J32)=0), "", INDEX('26'!$C$6:$C$9, MATCH(J32, '26'!$G$6:$G$9, 0)))</f>
        <v/>
      </c>
      <c r="J32" s="24">
        <f t="array" ref="J32">LARGE(IF(ISNUMBER('26'!$G$6:$G$9), '26'!$G$6:$G$9), 3)</f>
        <v>0</v>
      </c>
      <c r="K32" s="9">
        <f t="shared" si="2"/>
        <v>0</v>
      </c>
      <c r="L32" s="10" t="str">
        <f>IF(OR(M32=0, M32="", COUNTIF('26'!$G$6:$G$9, M32)=0), "", INDEX('26'!$C$6:$C$9, MATCH(M32, '26'!$G$6:$G$9, 0)))</f>
        <v/>
      </c>
      <c r="M32" s="24">
        <f t="array" ref="M32">LARGE(IF(ISNUMBER('26'!$G$6:$G$9), '26'!$G$6:$G$9), 4)</f>
        <v>0</v>
      </c>
      <c r="N32" s="9">
        <f t="shared" si="3"/>
        <v>0</v>
      </c>
      <c r="O32" s="10" t="str">
        <f>IF(OR(P32=0, P32="", COUNTIF('26'!$G$11:$G$14, P32)=0), "", INDEX('26'!$C$11:$C$14, MATCH(P32, '26'!$G$11:$G$14, 0)))</f>
        <v>멧자</v>
      </c>
      <c r="P32" s="23">
        <f t="array" ref="P32">LARGE(IF(ISNUMBER('26'!$G$11:$G$14), '26'!$G$11:$G$14), 1)</f>
        <v>11952</v>
      </c>
      <c r="Q32" s="8">
        <f t="shared" si="4"/>
        <v>0.20274121319039218</v>
      </c>
      <c r="R32" s="10" t="str">
        <f>IF(OR(S32=0, S32="", COUNTIF('26'!$G$11:$G$14, S32)=0), "", INDEX('26'!$C$11:$C$14, MATCH(S32, '26'!$G$11:$G$14, 0)))</f>
        <v/>
      </c>
      <c r="S32" s="24">
        <f t="array" ref="S32">LARGE(IF(ISNUMBER('26'!$G$11:$G$14), '26'!$G$11:$G$14), 2)</f>
        <v>0</v>
      </c>
      <c r="T32" s="9">
        <f t="shared" si="5"/>
        <v>0</v>
      </c>
      <c r="U32" s="10" t="str">
        <f>IF(OR(V32=0, V32="", COUNTIF('26'!$G$11:$G$14, V32)=0), "", INDEX('26'!$C$11:$C$14, MATCH(V32, '26'!$G$11:$G$14, 0)))</f>
        <v/>
      </c>
      <c r="V32" s="24">
        <f t="array" ref="V32">LARGE(IF(ISNUMBER('26'!$G$11:$G$14), '26'!$G$11:$G$14), 3)</f>
        <v>0</v>
      </c>
      <c r="W32" s="9">
        <f t="shared" si="6"/>
        <v>0</v>
      </c>
      <c r="X32" s="10" t="str">
        <f>IF(OR(Y32=0, Y32="", COUNTIF('26'!$G$11:$G$14, Y32)=0), "", INDEX('26'!$C$11:$C$14, MATCH(Y32, '26'!$G$11:$G$14, 0)))</f>
        <v/>
      </c>
      <c r="Y32" s="24">
        <f t="array" ref="Y32">LARGE(IF(ISNUMBER('26'!$G$11:$G$14), '26'!$G$11:$G$14), 4)</f>
        <v>0</v>
      </c>
      <c r="Z32" s="9">
        <f t="shared" si="7"/>
        <v>0</v>
      </c>
      <c r="AA32" s="11">
        <f t="shared" si="8"/>
        <v>58952</v>
      </c>
      <c r="AC32" s="29">
        <v>26</v>
      </c>
      <c r="AD32" s="32">
        <f t="shared" si="9"/>
        <v>47000</v>
      </c>
      <c r="AE32" s="50">
        <f t="shared" si="10"/>
        <v>0.79725878680960782</v>
      </c>
      <c r="AF32" s="32">
        <f t="shared" si="11"/>
        <v>11952</v>
      </c>
      <c r="AG32" s="51">
        <f t="shared" si="12"/>
        <v>0.20274121319039218</v>
      </c>
    </row>
    <row r="33" spans="2:33" x14ac:dyDescent="0.45">
      <c r="B33" s="13">
        <v>27</v>
      </c>
      <c r="C33" s="10" t="str">
        <f>IF(OR(D33=0, D33="", COUNTIF('27'!$G$6:$G$9, D33)=0), "", INDEX('27'!$C$6:$C$9, MATCH(D33, '27'!$G$6:$G$9, 0)))</f>
        <v>Acacia</v>
      </c>
      <c r="D33" s="23">
        <f t="array" ref="D33">LARGE(IF(ISNUMBER('27'!$G$6:$G$9), '27'!$G$6:$G$9), 1)</f>
        <v>37250</v>
      </c>
      <c r="E33" s="8">
        <f t="shared" si="0"/>
        <v>0.66904950068252034</v>
      </c>
      <c r="F33" s="10" t="str">
        <f>IF(OR(G33=0, G33="", COUNTIF('27'!$G$6:$G$9, G33)=0), "", INDEX('27'!$C$6:$C$9, MATCH(G33, '27'!$G$6:$G$9, 0)))</f>
        <v/>
      </c>
      <c r="G33" s="24">
        <f t="array" ref="G33">LARGE(IF(ISNUMBER('27'!$G$6:$G$9), '27'!$G$6:$G$9), 2)</f>
        <v>0</v>
      </c>
      <c r="H33" s="9">
        <f t="shared" si="1"/>
        <v>0</v>
      </c>
      <c r="I33" s="10" t="str">
        <f>IF(OR(J33=0, J33="", COUNTIF('27'!$G$6:$G$9, J33)=0), "", INDEX('27'!$C$6:$C$9, MATCH(J33, '27'!$G$6:$G$9, 0)))</f>
        <v/>
      </c>
      <c r="J33" s="24">
        <f t="array" ref="J33">LARGE(IF(ISNUMBER('27'!$G$6:$G$9), '27'!$G$6:$G$9), 3)</f>
        <v>0</v>
      </c>
      <c r="K33" s="9">
        <f t="shared" si="2"/>
        <v>0</v>
      </c>
      <c r="L33" s="10" t="str">
        <f>IF(OR(M33=0, M33="", COUNTIF('27'!$G$6:$G$9, M33)=0), "", INDEX('27'!$C$6:$C$9, MATCH(M33, '27'!$G$6:$G$9, 0)))</f>
        <v/>
      </c>
      <c r="M33" s="24">
        <f t="array" ref="M33">LARGE(IF(ISNUMBER('27'!$G$6:$G$9), '27'!$G$6:$G$9), 4)</f>
        <v>0</v>
      </c>
      <c r="N33" s="9">
        <f t="shared" si="3"/>
        <v>0</v>
      </c>
      <c r="O33" s="10" t="str">
        <f>IF(OR(P33=0, P33="", COUNTIF('27'!$G$11:$G$14, P33)=0), "", INDEX('27'!$C$11:$C$14, MATCH(P33, '27'!$G$11:$G$14, 0)))</f>
        <v>멧자</v>
      </c>
      <c r="P33" s="23">
        <f t="array" ref="P33">LARGE(IF(ISNUMBER('27'!$G$11:$G$14), '27'!$G$11:$G$14), 1)</f>
        <v>18426</v>
      </c>
      <c r="Q33" s="8">
        <f t="shared" si="4"/>
        <v>0.33095049931747972</v>
      </c>
      <c r="R33" s="10" t="str">
        <f>IF(OR(S33=0, S33="", COUNTIF('27'!$G$11:$G$14, S33)=0), "", INDEX('27'!$C$11:$C$14, MATCH(S33, '27'!$G$11:$G$14, 0)))</f>
        <v/>
      </c>
      <c r="S33" s="24">
        <f t="array" ref="S33">LARGE(IF(ISNUMBER('27'!$G$11:$G$14), '27'!$G$11:$G$14), 2)</f>
        <v>0</v>
      </c>
      <c r="T33" s="9">
        <f t="shared" si="5"/>
        <v>0</v>
      </c>
      <c r="U33" s="10" t="str">
        <f>IF(OR(V33=0, V33="", COUNTIF('27'!$G$11:$G$14, V33)=0), "", INDEX('27'!$C$11:$C$14, MATCH(V33, '27'!$G$11:$G$14, 0)))</f>
        <v/>
      </c>
      <c r="V33" s="24">
        <f t="array" ref="V33">LARGE(IF(ISNUMBER('27'!$G$11:$G$14), '27'!$G$11:$G$14), 3)</f>
        <v>0</v>
      </c>
      <c r="W33" s="9">
        <f t="shared" si="6"/>
        <v>0</v>
      </c>
      <c r="X33" s="10" t="str">
        <f>IF(OR(Y33=0, Y33="", COUNTIF('27'!$G$11:$G$14, Y33)=0), "", INDEX('27'!$C$11:$C$14, MATCH(Y33, '27'!$G$11:$G$14, 0)))</f>
        <v/>
      </c>
      <c r="Y33" s="24">
        <f t="array" ref="Y33">LARGE(IF(ISNUMBER('27'!$G$11:$G$14), '27'!$G$11:$G$14), 4)</f>
        <v>0</v>
      </c>
      <c r="Z33" s="9">
        <f t="shared" si="7"/>
        <v>0</v>
      </c>
      <c r="AA33" s="11">
        <f t="shared" si="8"/>
        <v>55676</v>
      </c>
      <c r="AC33" s="29">
        <v>27</v>
      </c>
      <c r="AD33" s="32">
        <f t="shared" si="9"/>
        <v>37250</v>
      </c>
      <c r="AE33" s="50">
        <f t="shared" si="10"/>
        <v>0.66904950068252034</v>
      </c>
      <c r="AF33" s="32">
        <f t="shared" si="11"/>
        <v>18426</v>
      </c>
      <c r="AG33" s="51">
        <f t="shared" si="12"/>
        <v>0.33095049931747972</v>
      </c>
    </row>
    <row r="34" spans="2:33" x14ac:dyDescent="0.45">
      <c r="B34" s="13">
        <v>28</v>
      </c>
      <c r="C34" s="10" t="str">
        <f>IF(OR(D34=0, D34="", COUNTIF('28'!$G$6:$G$9, D34)=0), "", INDEX('28'!$C$6:$C$9, MATCH(D34, '28'!$G$6:$G$9, 0)))</f>
        <v>Acacia</v>
      </c>
      <c r="D34" s="23">
        <f t="array" ref="D34">LARGE(IF(ISNUMBER('28'!$G$6:$G$9), '28'!$G$6:$G$9), 1)</f>
        <v>31750</v>
      </c>
      <c r="E34" s="8">
        <f t="shared" si="0"/>
        <v>0.63592845554509581</v>
      </c>
      <c r="F34" s="10" t="str">
        <f>IF(OR(G34=0, G34="", COUNTIF('28'!$G$6:$G$9, G34)=0), "", INDEX('28'!$C$6:$C$9, MATCH(G34, '28'!$G$6:$G$9, 0)))</f>
        <v/>
      </c>
      <c r="G34" s="24">
        <f t="array" ref="G34">LARGE(IF(ISNUMBER('28'!$G$6:$G$9), '28'!$G$6:$G$9), 2)</f>
        <v>0</v>
      </c>
      <c r="H34" s="9">
        <f t="shared" si="1"/>
        <v>0</v>
      </c>
      <c r="I34" s="10" t="str">
        <f>IF(OR(J34=0, J34="", COUNTIF('28'!$G$6:$G$9, J34)=0), "", INDEX('28'!$C$6:$C$9, MATCH(J34, '28'!$G$6:$G$9, 0)))</f>
        <v/>
      </c>
      <c r="J34" s="24">
        <f t="array" ref="J34">LARGE(IF(ISNUMBER('28'!$G$6:$G$9), '28'!$G$6:$G$9), 3)</f>
        <v>0</v>
      </c>
      <c r="K34" s="9">
        <f t="shared" si="2"/>
        <v>0</v>
      </c>
      <c r="L34" s="10" t="str">
        <f>IF(OR(M34=0, M34="", COUNTIF('28'!$G$6:$G$9, M34)=0), "", INDEX('28'!$C$6:$C$9, MATCH(M34, '28'!$G$6:$G$9, 0)))</f>
        <v/>
      </c>
      <c r="M34" s="24">
        <f t="array" ref="M34">LARGE(IF(ISNUMBER('28'!$G$6:$G$9), '28'!$G$6:$G$9), 4)</f>
        <v>0</v>
      </c>
      <c r="N34" s="9">
        <f t="shared" si="3"/>
        <v>0</v>
      </c>
      <c r="O34" s="10" t="str">
        <f>IF(OR(P34=0, P34="", COUNTIF('28'!$G$11:$G$14, P34)=0), "", INDEX('28'!$C$11:$C$14, MATCH(P34, '28'!$G$11:$G$14, 0)))</f>
        <v>멧자</v>
      </c>
      <c r="P34" s="23">
        <f t="array" ref="P34">LARGE(IF(ISNUMBER('28'!$G$11:$G$14), '28'!$G$11:$G$14), 1)</f>
        <v>18177</v>
      </c>
      <c r="Q34" s="8">
        <f t="shared" si="4"/>
        <v>0.36407154445490414</v>
      </c>
      <c r="R34" s="10" t="str">
        <f>IF(OR(S34=0, S34="", COUNTIF('28'!$G$11:$G$14, S34)=0), "", INDEX('28'!$C$11:$C$14, MATCH(S34, '28'!$G$11:$G$14, 0)))</f>
        <v/>
      </c>
      <c r="S34" s="24">
        <f t="array" ref="S34">LARGE(IF(ISNUMBER('28'!$G$11:$G$14), '28'!$G$11:$G$14), 2)</f>
        <v>0</v>
      </c>
      <c r="T34" s="9">
        <f t="shared" si="5"/>
        <v>0</v>
      </c>
      <c r="U34" s="10" t="str">
        <f>IF(OR(V34=0, V34="", COUNTIF('28'!$G$11:$G$14, V34)=0), "", INDEX('28'!$C$11:$C$14, MATCH(V34, '28'!$G$11:$G$14, 0)))</f>
        <v/>
      </c>
      <c r="V34" s="24">
        <f t="array" ref="V34">LARGE(IF(ISNUMBER('28'!$G$11:$G$14), '28'!$G$11:$G$14), 3)</f>
        <v>0</v>
      </c>
      <c r="W34" s="9">
        <f t="shared" si="6"/>
        <v>0</v>
      </c>
      <c r="X34" s="10" t="str">
        <f>IF(OR(Y34=0, Y34="", COUNTIF('28'!$G$11:$G$14, Y34)=0), "", INDEX('28'!$C$11:$C$14, MATCH(Y34, '28'!$G$11:$G$14, 0)))</f>
        <v/>
      </c>
      <c r="Y34" s="24">
        <f t="array" ref="Y34">LARGE(IF(ISNUMBER('28'!$G$11:$G$14), '28'!$G$11:$G$14), 4)</f>
        <v>0</v>
      </c>
      <c r="Z34" s="9">
        <f t="shared" si="7"/>
        <v>0</v>
      </c>
      <c r="AA34" s="11">
        <f t="shared" si="8"/>
        <v>49927</v>
      </c>
      <c r="AC34" s="29">
        <v>28</v>
      </c>
      <c r="AD34" s="32">
        <f t="shared" si="9"/>
        <v>31750</v>
      </c>
      <c r="AE34" s="50">
        <f t="shared" si="10"/>
        <v>0.63592845554509581</v>
      </c>
      <c r="AF34" s="32">
        <f t="shared" si="11"/>
        <v>18177</v>
      </c>
      <c r="AG34" s="51">
        <f t="shared" si="12"/>
        <v>0.36407154445490414</v>
      </c>
    </row>
    <row r="35" spans="2:33" x14ac:dyDescent="0.45">
      <c r="B35" s="13">
        <v>29</v>
      </c>
      <c r="C35" s="10" t="str">
        <f>IF(OR(D35=0, D35="", COUNTIF('29'!$G$6:$G$9, D35)=0), "", INDEX('29'!$C$6:$C$9, MATCH(D35, '29'!$G$6:$G$9, 0)))</f>
        <v>Acacia</v>
      </c>
      <c r="D35" s="23">
        <f t="array" ref="D35">LARGE(IF(ISNUMBER('29'!$G$6:$G$9), '29'!$G$6:$G$9), 1)</f>
        <v>35250</v>
      </c>
      <c r="E35" s="8">
        <f t="shared" si="0"/>
        <v>0.82997810270537542</v>
      </c>
      <c r="F35" s="10" t="str">
        <f>IF(OR(G35=0, G35="", COUNTIF('29'!$G$6:$G$9, G35)=0), "", INDEX('29'!$C$6:$C$9, MATCH(G35, '29'!$G$6:$G$9, 0)))</f>
        <v/>
      </c>
      <c r="G35" s="24">
        <f t="array" ref="G35">LARGE(IF(ISNUMBER('29'!$G$6:$G$9), '29'!$G$6:$G$9), 2)</f>
        <v>0</v>
      </c>
      <c r="H35" s="9">
        <f t="shared" si="1"/>
        <v>0</v>
      </c>
      <c r="I35" s="10" t="str">
        <f>IF(OR(J35=0, J35="", COUNTIF('29'!$G$6:$G$9, J35)=0), "", INDEX('29'!$C$6:$C$9, MATCH(J35, '29'!$G$6:$G$9, 0)))</f>
        <v/>
      </c>
      <c r="J35" s="24">
        <f t="array" ref="J35">LARGE(IF(ISNUMBER('29'!$G$6:$G$9), '29'!$G$6:$G$9), 3)</f>
        <v>0</v>
      </c>
      <c r="K35" s="9">
        <f t="shared" si="2"/>
        <v>0</v>
      </c>
      <c r="L35" s="10" t="str">
        <f>IF(OR(M35=0, M35="", COUNTIF('29'!$G$6:$G$9, M35)=0), "", INDEX('29'!$C$6:$C$9, MATCH(M35, '29'!$G$6:$G$9, 0)))</f>
        <v/>
      </c>
      <c r="M35" s="24">
        <f t="array" ref="M35">LARGE(IF(ISNUMBER('29'!$G$6:$G$9), '29'!$G$6:$G$9), 4)</f>
        <v>0</v>
      </c>
      <c r="N35" s="9">
        <f t="shared" si="3"/>
        <v>0</v>
      </c>
      <c r="O35" s="10" t="str">
        <f>IF(OR(P35=0, P35="", COUNTIF('29'!$G$11:$G$14, P35)=0), "", INDEX('29'!$C$11:$C$14, MATCH(P35, '29'!$G$11:$G$14, 0)))</f>
        <v>멧자</v>
      </c>
      <c r="P35" s="23">
        <f t="array" ref="P35">LARGE(IF(ISNUMBER('29'!$G$11:$G$14), '29'!$G$11:$G$14), 1)</f>
        <v>7221</v>
      </c>
      <c r="Q35" s="8">
        <f t="shared" si="4"/>
        <v>0.17002189729462458</v>
      </c>
      <c r="R35" s="10" t="str">
        <f>IF(OR(S35=0, S35="", COUNTIF('29'!$G$11:$G$14, S35)=0), "", INDEX('29'!$C$11:$C$14, MATCH(S35, '29'!$G$11:$G$14, 0)))</f>
        <v/>
      </c>
      <c r="S35" s="24">
        <f t="array" ref="S35">LARGE(IF(ISNUMBER('29'!$G$11:$G$14), '29'!$G$11:$G$14), 2)</f>
        <v>0</v>
      </c>
      <c r="T35" s="9">
        <f t="shared" si="5"/>
        <v>0</v>
      </c>
      <c r="U35" s="10" t="str">
        <f>IF(OR(V35=0, V35="", COUNTIF('29'!$G$11:$G$14, V35)=0), "", INDEX('29'!$C$11:$C$14, MATCH(V35, '29'!$G$11:$G$14, 0)))</f>
        <v/>
      </c>
      <c r="V35" s="24">
        <f t="array" ref="V35">LARGE(IF(ISNUMBER('29'!$G$11:$G$14), '29'!$G$11:$G$14), 3)</f>
        <v>0</v>
      </c>
      <c r="W35" s="9">
        <f t="shared" si="6"/>
        <v>0</v>
      </c>
      <c r="X35" s="10" t="str">
        <f>IF(OR(Y35=0, Y35="", COUNTIF('29'!$G$11:$G$14, Y35)=0), "", INDEX('29'!$C$11:$C$14, MATCH(Y35, '29'!$G$11:$G$14, 0)))</f>
        <v/>
      </c>
      <c r="Y35" s="24">
        <f t="array" ref="Y35">LARGE(IF(ISNUMBER('29'!$G$11:$G$14), '29'!$G$11:$G$14), 4)</f>
        <v>0</v>
      </c>
      <c r="Z35" s="9">
        <f t="shared" si="7"/>
        <v>0</v>
      </c>
      <c r="AA35" s="11">
        <f t="shared" si="8"/>
        <v>42471</v>
      </c>
      <c r="AC35" s="29">
        <v>29</v>
      </c>
      <c r="AD35" s="32">
        <f t="shared" si="9"/>
        <v>35250</v>
      </c>
      <c r="AE35" s="50">
        <f t="shared" si="10"/>
        <v>0.82997810270537542</v>
      </c>
      <c r="AF35" s="32">
        <f t="shared" si="11"/>
        <v>7221</v>
      </c>
      <c r="AG35" s="51">
        <f t="shared" si="12"/>
        <v>0.17002189729462458</v>
      </c>
    </row>
    <row r="36" spans="2:33" x14ac:dyDescent="0.45">
      <c r="B36" s="46">
        <v>30</v>
      </c>
      <c r="C36" s="10" t="str">
        <f>IF(OR(D36=0, D36="", COUNTIF('30'!$G$6:$G$9, D36)=0), "", INDEX('30'!$C$6:$C$9, MATCH(D36, '30'!$G$6:$G$9, 0)))</f>
        <v>Acacia</v>
      </c>
      <c r="D36" s="23">
        <f t="array" ref="D36">LARGE(IF(ISNUMBER('30'!$G$6:$G$9), '30'!$G$6:$G$9), 1)</f>
        <v>42000</v>
      </c>
      <c r="E36" s="8">
        <f t="shared" si="0"/>
        <v>0.88928412627834597</v>
      </c>
      <c r="F36" s="10" t="str">
        <f>IF(OR(G36=0, G36="", COUNTIF('30'!$G$6:$G$9, G36)=0), "", INDEX('30'!$C$6:$C$9, MATCH(G36, '30'!$G$6:$G$9, 0)))</f>
        <v/>
      </c>
      <c r="G36" s="24">
        <f t="array" ref="G36">LARGE(IF(ISNUMBER('30'!$G$6:$G$9), '30'!$G$6:$G$9), 2)</f>
        <v>0</v>
      </c>
      <c r="H36" s="9">
        <f t="shared" si="1"/>
        <v>0</v>
      </c>
      <c r="I36" s="10" t="str">
        <f>IF(OR(J36=0, J36="", COUNTIF('30'!$G$6:$G$9, J36)=0), "", INDEX('30'!$C$6:$C$9, MATCH(J36, '30'!$G$6:$G$9, 0)))</f>
        <v/>
      </c>
      <c r="J36" s="24">
        <f t="array" ref="J36">LARGE(IF(ISNUMBER('30'!$G$6:$G$9), '30'!$G$6:$G$9), 3)</f>
        <v>0</v>
      </c>
      <c r="K36" s="9">
        <f t="shared" si="2"/>
        <v>0</v>
      </c>
      <c r="L36" s="10" t="str">
        <f>IF(OR(M36=0, M36="", COUNTIF('30'!$G$6:$G$9, M36)=0), "", INDEX('30'!$C$6:$C$9, MATCH(M36, '30'!$G$6:$G$9, 0)))</f>
        <v/>
      </c>
      <c r="M36" s="24">
        <f t="array" ref="M36">LARGE(IF(ISNUMBER('30'!$G$6:$G$9), '30'!$G$6:$G$9), 4)</f>
        <v>0</v>
      </c>
      <c r="N36" s="9">
        <f t="shared" si="3"/>
        <v>0</v>
      </c>
      <c r="O36" s="10" t="str">
        <f>IF(OR(P36=0, P36="", COUNTIF('30'!$G$11:$G$14, P36)=0), "", INDEX('30'!$C$11:$C$14, MATCH(P36, '30'!$G$11:$G$14, 0)))</f>
        <v>멧자</v>
      </c>
      <c r="P36" s="23">
        <f t="array" ref="P36">LARGE(IF(ISNUMBER('30'!$G$11:$G$14), '30'!$G$11:$G$14), 1)</f>
        <v>5229</v>
      </c>
      <c r="Q36" s="8">
        <f t="shared" si="4"/>
        <v>0.11071587372165406</v>
      </c>
      <c r="R36" s="10" t="str">
        <f>IF(OR(S36=0, S36="", COUNTIF('30'!$G$11:$G$14, S36)=0), "", INDEX('30'!$C$11:$C$14, MATCH(S36, '30'!$G$11:$G$14, 0)))</f>
        <v/>
      </c>
      <c r="S36" s="24">
        <f t="array" ref="S36">LARGE(IF(ISNUMBER('30'!$G$11:$G$14), '30'!$G$11:$G$14), 2)</f>
        <v>0</v>
      </c>
      <c r="T36" s="9">
        <f t="shared" si="5"/>
        <v>0</v>
      </c>
      <c r="U36" s="10" t="str">
        <f>IF(OR(V36=0, V36="", COUNTIF('30'!$G$11:$G$14, V36)=0), "", INDEX('30'!$C$11:$C$14, MATCH(V36, '30'!$G$11:$G$14, 0)))</f>
        <v/>
      </c>
      <c r="V36" s="24">
        <f t="array" ref="V36">LARGE(IF(ISNUMBER('30'!$G$11:$G$14), '30'!$G$11:$G$14), 3)</f>
        <v>0</v>
      </c>
      <c r="W36" s="9">
        <f t="shared" si="6"/>
        <v>0</v>
      </c>
      <c r="X36" s="10" t="str">
        <f>IF(OR(Y36=0, Y36="", COUNTIF('30'!$G$11:$G$14, Y36)=0), "", INDEX('30'!$C$11:$C$14, MATCH(Y36, '30'!$G$11:$G$14, 0)))</f>
        <v/>
      </c>
      <c r="Y36" s="24">
        <f t="array" ref="Y36">LARGE(IF(ISNUMBER('30'!$G$11:$G$14), '30'!$G$11:$G$14), 4)</f>
        <v>0</v>
      </c>
      <c r="Z36" s="9">
        <f t="shared" si="7"/>
        <v>0</v>
      </c>
      <c r="AA36" s="11">
        <f t="shared" si="8"/>
        <v>47229</v>
      </c>
      <c r="AC36" s="47">
        <v>30</v>
      </c>
      <c r="AD36" s="32">
        <f t="shared" si="9"/>
        <v>42000</v>
      </c>
      <c r="AE36" s="50">
        <f>IFERROR(AD36/(AD36+AF36),"")</f>
        <v>0.88928412627834597</v>
      </c>
      <c r="AF36" s="32">
        <f t="shared" si="11"/>
        <v>5229</v>
      </c>
      <c r="AG36" s="51">
        <f>IFERROR(AF36/(AF36+AD36),"")</f>
        <v>0.11071587372165406</v>
      </c>
    </row>
    <row r="37" spans="2:33" x14ac:dyDescent="0.45">
      <c r="B37" s="13">
        <v>31</v>
      </c>
      <c r="C37" s="10" t="str">
        <f>IF(OR(D37=0, D37="", COUNTIF('31'!$G$6:$G$9, D37)=0), "", INDEX('31'!$C$6:$C$9, MATCH(D37, '31'!$G$6:$G$9, 0)))</f>
        <v>Acacia</v>
      </c>
      <c r="D37" s="23">
        <f t="array" ref="D37">LARGE(IF(ISNUMBER('31'!$G$6:$G$9), '31'!$G$6:$G$9), 1)</f>
        <v>46000</v>
      </c>
      <c r="E37" s="8">
        <f t="shared" si="0"/>
        <v>0.88928412627834597</v>
      </c>
      <c r="F37" s="10" t="str">
        <f>IF(OR(G37=0, G37="", COUNTIF('31'!$G$6:$G$9, G37)=0), "", INDEX('31'!$C$6:$C$9, MATCH(G37, '31'!$G$6:$G$9, 0)))</f>
        <v/>
      </c>
      <c r="G37" s="24">
        <f t="array" ref="G37">LARGE(IF(ISNUMBER('31'!$G$6:$G$9), '31'!$G$6:$G$9), 2)</f>
        <v>0</v>
      </c>
      <c r="H37" s="9">
        <f t="shared" si="1"/>
        <v>0</v>
      </c>
      <c r="I37" s="10" t="str">
        <f>IF(OR(J37=0, J37="", COUNTIF('31'!$G$6:$G$9, J37)=0), "", INDEX('31'!$C$6:$C$9, MATCH(J37, '31'!$G$6:$G$9, 0)))</f>
        <v/>
      </c>
      <c r="J37" s="24">
        <f t="array" ref="J37">LARGE(IF(ISNUMBER('31'!$G$6:$G$9), '31'!$G$6:$G$9), 3)</f>
        <v>0</v>
      </c>
      <c r="K37" s="9">
        <f t="shared" si="2"/>
        <v>0</v>
      </c>
      <c r="L37" s="10" t="str">
        <f>IF(OR(M37=0, M37="", COUNTIF('31'!$G$6:$G$9, M37)=0), "", INDEX('31'!$C$6:$C$9, MATCH(M37, '31'!$G$6:$G$9, 0)))</f>
        <v/>
      </c>
      <c r="M37" s="24">
        <f t="array" ref="M37">LARGE(IF(ISNUMBER('31'!$G$6:$G$9), '31'!$G$6:$G$9), 4)</f>
        <v>0</v>
      </c>
      <c r="N37" s="9">
        <f t="shared" si="3"/>
        <v>0</v>
      </c>
      <c r="O37" s="10" t="str">
        <f>IF(OR(P37=0, P37="", COUNTIF('31'!$G$11:$G$14, P37)=0), "", INDEX('31'!$C$11:$C$14, MATCH(P37, '31'!$G$11:$G$14, 0)))</f>
        <v>멧자</v>
      </c>
      <c r="P37" s="23">
        <f t="array" ref="P37">LARGE(IF(ISNUMBER('31'!$G$11:$G$14), '31'!$G$11:$G$14), 1)</f>
        <v>5727</v>
      </c>
      <c r="Q37" s="8">
        <f t="shared" si="4"/>
        <v>0.11071587372165406</v>
      </c>
      <c r="R37" s="10" t="str">
        <f>IF(OR(S37=0, S37="", COUNTIF('31'!$G$11:$G$14, S37)=0), "", INDEX('31'!$C$11:$C$14, MATCH(S37, '31'!$G$11:$G$14, 0)))</f>
        <v/>
      </c>
      <c r="S37" s="24">
        <f t="array" ref="S37">LARGE(IF(ISNUMBER('31'!$G$11:$G$14), '31'!$G$11:$G$14), 2)</f>
        <v>0</v>
      </c>
      <c r="T37" s="9">
        <f t="shared" si="5"/>
        <v>0</v>
      </c>
      <c r="U37" s="10" t="str">
        <f>IF(OR(V37=0, V37="", COUNTIF('31'!$G$11:$G$14, V37)=0), "", INDEX('31'!$C$11:$C$14, MATCH(V37, '31'!$G$11:$G$14, 0)))</f>
        <v/>
      </c>
      <c r="V37" s="24">
        <f t="array" ref="V37">LARGE(IF(ISNUMBER('31'!$G$11:$G$14), '31'!$G$11:$G$14), 3)</f>
        <v>0</v>
      </c>
      <c r="W37" s="9">
        <f t="shared" si="6"/>
        <v>0</v>
      </c>
      <c r="X37" s="10" t="str">
        <f>IF(OR(Y37=0, Y37="", COUNTIF('31'!$G$11:$G$14, Y37)=0), "", INDEX('31'!$C$11:$C$14, MATCH(Y37, '31'!$G$11:$G$14, 0)))</f>
        <v/>
      </c>
      <c r="Y37" s="24">
        <f t="array" ref="Y37">LARGE(IF(ISNUMBER('31'!$G$11:$G$14), '31'!$G$11:$G$14), 4)</f>
        <v>0</v>
      </c>
      <c r="Z37" s="9">
        <f t="shared" si="7"/>
        <v>0</v>
      </c>
      <c r="AA37" s="11">
        <f t="shared" si="8"/>
        <v>51727</v>
      </c>
      <c r="AC37" s="29">
        <v>31</v>
      </c>
      <c r="AD37" s="32">
        <f t="shared" si="9"/>
        <v>46000</v>
      </c>
      <c r="AE37" s="50">
        <f t="shared" si="10"/>
        <v>0.88928412627834597</v>
      </c>
      <c r="AF37" s="32">
        <f t="shared" si="11"/>
        <v>5727</v>
      </c>
      <c r="AG37" s="51">
        <f t="shared" si="12"/>
        <v>0.11071587372165406</v>
      </c>
    </row>
    <row r="38" spans="2:33" ht="17.5" thickBot="1" x14ac:dyDescent="0.5">
      <c r="B38" s="13" t="s">
        <v>65</v>
      </c>
      <c r="C38" s="33"/>
      <c r="D38" s="36">
        <f>SUM(D7:D37)</f>
        <v>1107000</v>
      </c>
      <c r="E38" s="34">
        <f>IFERROR(D38 / (SUM(D38, G38, J38, M38,P38,S38,V38)), "")</f>
        <v>0.8417201200762795</v>
      </c>
      <c r="F38" s="33"/>
      <c r="G38" s="37">
        <f>SUM(G7:G37)</f>
        <v>0</v>
      </c>
      <c r="H38" s="35">
        <f>IFERROR(G38 / (SUM(D38, G38, J38, M38,P38,S38,V38)), "")</f>
        <v>0</v>
      </c>
      <c r="I38" s="33"/>
      <c r="J38" s="37">
        <f>SUM(J7:J37)</f>
        <v>0</v>
      </c>
      <c r="K38" s="35">
        <f>IFERROR(J38 / (SUM(D38, G38, J38, M38,P38,S38,V38)), "")</f>
        <v>0</v>
      </c>
      <c r="L38" s="33"/>
      <c r="M38" s="37">
        <f>SUM(M7:M37)</f>
        <v>0</v>
      </c>
      <c r="N38" s="35">
        <f>IFERROR(M38 / (SUM(D38, G38, J38, M38)), "")</f>
        <v>0</v>
      </c>
      <c r="O38" s="33"/>
      <c r="P38" s="36">
        <f>SUM(P7:P37)</f>
        <v>208164</v>
      </c>
      <c r="Q38" s="34">
        <f>IFERROR(P38 / (SUM(D38,G38,J38,P38, S38, V38, Y38)), "")</f>
        <v>0.15827987992372053</v>
      </c>
      <c r="R38" s="33"/>
      <c r="S38" s="37">
        <f>SUM(S7:S37)</f>
        <v>0</v>
      </c>
      <c r="T38" s="35">
        <f t="shared" si="5"/>
        <v>0</v>
      </c>
      <c r="U38" s="33"/>
      <c r="V38" s="37">
        <f>SUM(V7:V37)</f>
        <v>0</v>
      </c>
      <c r="W38" s="35">
        <f>IFERROR(V38 / (SUM(D38,G38,J38,S38, V38, Y38, P38)), "")</f>
        <v>0</v>
      </c>
      <c r="X38" s="33"/>
      <c r="Y38" s="37">
        <f>SUM(Y7:Y37)</f>
        <v>0</v>
      </c>
      <c r="Z38" s="35">
        <f>IFERROR(Y38 / (SUM(V38, Y38, P38, S38)), "")</f>
        <v>0</v>
      </c>
      <c r="AA38" s="11">
        <f>SUM(AA7:AA37)</f>
        <v>1315164</v>
      </c>
      <c r="AC38" s="28" t="s">
        <v>73</v>
      </c>
      <c r="AD38" s="45">
        <f>SUM(AD7:AD37)</f>
        <v>1107000</v>
      </c>
      <c r="AE38" s="43">
        <f>IFERROR(AD38/(AD38+AF38),"")</f>
        <v>0.8417201200762795</v>
      </c>
      <c r="AF38" s="45">
        <f>SUM(AF7:AF37)</f>
        <v>208164</v>
      </c>
      <c r="AG38" s="44">
        <f>IFERROR(AF38/(AF38+AD38),"")</f>
        <v>0.15827987992372053</v>
      </c>
    </row>
  </sheetData>
  <mergeCells count="10">
    <mergeCell ref="B1:H2"/>
    <mergeCell ref="B4:B5"/>
    <mergeCell ref="C4:N5"/>
    <mergeCell ref="O4:Z5"/>
    <mergeCell ref="AA4:AA6"/>
    <mergeCell ref="AK4:AL5"/>
    <mergeCell ref="AI4:AJ5"/>
    <mergeCell ref="AF4:AG5"/>
    <mergeCell ref="AD4:AE5"/>
    <mergeCell ref="AC4:AC5"/>
  </mergeCells>
  <phoneticPr fontId="6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34"/>
  <sheetViews>
    <sheetView tabSelected="1" workbookViewId="0">
      <selection activeCell="N26" sqref="N26"/>
    </sheetView>
  </sheetViews>
  <sheetFormatPr defaultRowHeight="17" x14ac:dyDescent="0.45"/>
  <cols>
    <col min="3" max="3" width="11.08203125" bestFit="1" customWidth="1"/>
  </cols>
  <sheetData>
    <row r="1" spans="1:30" x14ac:dyDescent="0.25">
      <c r="A1" s="217" t="s">
        <v>140</v>
      </c>
      <c r="B1" s="217" t="s">
        <v>141</v>
      </c>
      <c r="C1" s="217" t="s">
        <v>142</v>
      </c>
      <c r="D1" s="217" t="s">
        <v>143</v>
      </c>
      <c r="E1" s="217" t="s">
        <v>144</v>
      </c>
      <c r="F1" s="217" t="s">
        <v>145</v>
      </c>
      <c r="G1" s="217" t="s">
        <v>145</v>
      </c>
      <c r="H1" s="217" t="s">
        <v>145</v>
      </c>
      <c r="I1" s="217" t="s">
        <v>145</v>
      </c>
      <c r="J1" s="217" t="s">
        <v>145</v>
      </c>
      <c r="K1" s="217" t="s">
        <v>145</v>
      </c>
      <c r="L1" s="217" t="s">
        <v>145</v>
      </c>
      <c r="M1" s="217" t="s">
        <v>145</v>
      </c>
      <c r="N1" s="217" t="s">
        <v>145</v>
      </c>
      <c r="O1" s="217" t="s">
        <v>145</v>
      </c>
      <c r="P1" s="217" t="s">
        <v>145</v>
      </c>
      <c r="Q1" s="217" t="s">
        <v>146</v>
      </c>
      <c r="R1" s="217" t="s">
        <v>145</v>
      </c>
      <c r="S1" s="217" t="s">
        <v>145</v>
      </c>
      <c r="T1" s="217" t="s">
        <v>145</v>
      </c>
      <c r="U1" s="217" t="s">
        <v>145</v>
      </c>
      <c r="V1" s="217" t="s">
        <v>145</v>
      </c>
      <c r="W1" s="217" t="s">
        <v>145</v>
      </c>
      <c r="X1" s="217" t="s">
        <v>145</v>
      </c>
      <c r="Y1" s="217" t="s">
        <v>145</v>
      </c>
      <c r="Z1" s="217" t="s">
        <v>145</v>
      </c>
      <c r="AA1" s="217" t="s">
        <v>145</v>
      </c>
      <c r="AB1" s="217" t="s">
        <v>145</v>
      </c>
      <c r="AC1" s="217" t="s">
        <v>147</v>
      </c>
      <c r="AD1" s="217" t="s">
        <v>148</v>
      </c>
    </row>
    <row r="2" spans="1:30" x14ac:dyDescent="0.25">
      <c r="A2" s="217" t="s">
        <v>145</v>
      </c>
      <c r="B2" s="217" t="s">
        <v>145</v>
      </c>
      <c r="C2" s="217" t="s">
        <v>145</v>
      </c>
      <c r="D2" s="217" t="s">
        <v>145</v>
      </c>
      <c r="E2" s="109" t="s">
        <v>149</v>
      </c>
      <c r="F2" s="109" t="s">
        <v>150</v>
      </c>
      <c r="G2" s="109" t="s">
        <v>151</v>
      </c>
      <c r="H2" s="109" t="s">
        <v>149</v>
      </c>
      <c r="I2" s="109" t="s">
        <v>150</v>
      </c>
      <c r="J2" s="109" t="s">
        <v>151</v>
      </c>
      <c r="K2" s="109" t="s">
        <v>149</v>
      </c>
      <c r="L2" s="109" t="s">
        <v>150</v>
      </c>
      <c r="M2" s="109" t="s">
        <v>151</v>
      </c>
      <c r="N2" s="109" t="s">
        <v>149</v>
      </c>
      <c r="O2" s="109" t="s">
        <v>150</v>
      </c>
      <c r="P2" s="109" t="s">
        <v>151</v>
      </c>
      <c r="Q2" s="109" t="s">
        <v>149</v>
      </c>
      <c r="R2" s="109" t="s">
        <v>150</v>
      </c>
      <c r="S2" s="109" t="s">
        <v>151</v>
      </c>
      <c r="T2" s="109" t="s">
        <v>149</v>
      </c>
      <c r="U2" s="109" t="s">
        <v>150</v>
      </c>
      <c r="V2" s="109" t="s">
        <v>151</v>
      </c>
      <c r="W2" s="109" t="s">
        <v>149</v>
      </c>
      <c r="X2" s="109" t="s">
        <v>150</v>
      </c>
      <c r="Y2" s="109" t="s">
        <v>151</v>
      </c>
      <c r="Z2" s="109" t="s">
        <v>149</v>
      </c>
      <c r="AA2" s="109" t="s">
        <v>150</v>
      </c>
      <c r="AB2" s="109" t="s">
        <v>151</v>
      </c>
      <c r="AC2" s="217" t="s">
        <v>145</v>
      </c>
      <c r="AD2" s="217" t="s">
        <v>145</v>
      </c>
    </row>
    <row r="3" spans="1:30" x14ac:dyDescent="0.25">
      <c r="A3" s="109" t="s">
        <v>152</v>
      </c>
      <c r="B3" s="109" t="s">
        <v>153</v>
      </c>
      <c r="C3" s="109" t="s">
        <v>154</v>
      </c>
      <c r="D3" s="109" t="s">
        <v>155</v>
      </c>
      <c r="E3" s="109" t="s">
        <v>156</v>
      </c>
      <c r="F3" s="109" t="s">
        <v>157</v>
      </c>
      <c r="G3" s="109" t="s">
        <v>158</v>
      </c>
      <c r="H3" s="109" t="s">
        <v>159</v>
      </c>
      <c r="I3" s="109" t="s">
        <v>160</v>
      </c>
      <c r="J3" s="109" t="s">
        <v>161</v>
      </c>
      <c r="K3" s="109" t="s">
        <v>162</v>
      </c>
      <c r="L3" s="109" t="s">
        <v>163</v>
      </c>
      <c r="M3" s="109" t="s">
        <v>164</v>
      </c>
      <c r="N3" s="109" t="s">
        <v>165</v>
      </c>
      <c r="O3" s="109" t="s">
        <v>166</v>
      </c>
      <c r="P3" s="109" t="s">
        <v>167</v>
      </c>
      <c r="Q3" s="109" t="s">
        <v>168</v>
      </c>
      <c r="R3" s="109" t="s">
        <v>169</v>
      </c>
      <c r="S3" s="109" t="s">
        <v>170</v>
      </c>
      <c r="T3" s="109" t="s">
        <v>171</v>
      </c>
      <c r="U3" s="109" t="s">
        <v>172</v>
      </c>
      <c r="V3" s="109" t="s">
        <v>173</v>
      </c>
      <c r="W3" s="109" t="s">
        <v>174</v>
      </c>
      <c r="X3" s="109" t="s">
        <v>175</v>
      </c>
      <c r="Y3" s="109" t="s">
        <v>176</v>
      </c>
      <c r="Z3" s="109" t="s">
        <v>177</v>
      </c>
      <c r="AA3" s="109" t="s">
        <v>178</v>
      </c>
      <c r="AB3" s="109" t="s">
        <v>179</v>
      </c>
      <c r="AC3" s="109" t="s">
        <v>180</v>
      </c>
      <c r="AD3" s="109" t="s">
        <v>181</v>
      </c>
    </row>
    <row r="4" spans="1:30" x14ac:dyDescent="0.45">
      <c r="B4" t="s">
        <v>182</v>
      </c>
      <c r="C4" s="110">
        <v>46023</v>
      </c>
      <c r="D4" s="111">
        <v>0.27083333333333331</v>
      </c>
      <c r="E4" s="112" t="str">
        <f>'초지 펄프 배합비율'!C7</f>
        <v>Acacia</v>
      </c>
      <c r="F4" s="112">
        <f>'초지 펄프 배합비율'!D7</f>
        <v>49500</v>
      </c>
      <c r="G4" s="113">
        <f>'초지 펄프 배합비율'!E7</f>
        <v>0.91697232410803597</v>
      </c>
      <c r="H4" s="112" t="str">
        <f>'초지 펄프 배합비율'!F7</f>
        <v/>
      </c>
      <c r="I4" s="112">
        <f>'초지 펄프 배합비율'!G7</f>
        <v>0</v>
      </c>
      <c r="J4" s="112">
        <f>'초지 펄프 배합비율'!H7</f>
        <v>0</v>
      </c>
      <c r="K4" s="112" t="str">
        <f>'초지 펄프 배합비율'!I7</f>
        <v/>
      </c>
      <c r="L4" s="112">
        <f>'초지 펄프 배합비율'!J7</f>
        <v>0</v>
      </c>
      <c r="M4" s="112">
        <f>'초지 펄프 배합비율'!K7</f>
        <v>0</v>
      </c>
      <c r="N4" s="112" t="str">
        <f>'초지 펄프 배합비율'!L7</f>
        <v/>
      </c>
      <c r="O4" s="112">
        <f>'초지 펄프 배합비율'!M7</f>
        <v>0</v>
      </c>
      <c r="P4" s="112">
        <f>'초지 펄프 배합비율'!N7</f>
        <v>0</v>
      </c>
      <c r="Q4" s="112" t="str">
        <f>'초지 펄프 배합비율'!O7</f>
        <v>멧자</v>
      </c>
      <c r="R4" s="112">
        <f>'초지 펄프 배합비율'!P7</f>
        <v>4482</v>
      </c>
      <c r="S4" s="115">
        <f>'초지 펄프 배합비율'!Q7</f>
        <v>8.3027675891963984E-2</v>
      </c>
      <c r="T4" s="112" t="str">
        <f>'초지 펄프 배합비율'!R7</f>
        <v/>
      </c>
      <c r="U4" s="112">
        <f>'초지 펄프 배합비율'!S7</f>
        <v>0</v>
      </c>
      <c r="V4" s="112">
        <f>'초지 펄프 배합비율'!T7</f>
        <v>0</v>
      </c>
      <c r="W4" s="112" t="str">
        <f>'초지 펄프 배합비율'!U7</f>
        <v/>
      </c>
      <c r="X4" s="112">
        <f>'초지 펄프 배합비율'!V7</f>
        <v>0</v>
      </c>
      <c r="Y4" s="112">
        <f>'초지 펄프 배합비율'!W7</f>
        <v>0</v>
      </c>
      <c r="Z4" s="112" t="str">
        <f>'초지 펄프 배합비율'!X7</f>
        <v/>
      </c>
      <c r="AA4" s="112">
        <f>'초지 펄프 배합비율'!Y7</f>
        <v>0</v>
      </c>
      <c r="AB4" s="112">
        <f>'초지 펄프 배합비율'!Z7</f>
        <v>0</v>
      </c>
      <c r="AC4" s="112">
        <f>'초지 펄프 배합비율'!AA7</f>
        <v>53982</v>
      </c>
      <c r="AD4" s="114">
        <f>SUM(G4,J4,M4,P4,S4,V4,Y4,AB4)</f>
        <v>1</v>
      </c>
    </row>
    <row r="5" spans="1:30" x14ac:dyDescent="0.45">
      <c r="B5" t="s">
        <v>182</v>
      </c>
      <c r="C5" s="110">
        <v>46024</v>
      </c>
      <c r="D5" s="111">
        <v>0.27083333333333331</v>
      </c>
      <c r="E5" s="112" t="str">
        <f>'초지 펄프 배합비율'!C8</f>
        <v>Acacia</v>
      </c>
      <c r="F5" s="112">
        <f>'초지 펄프 배합비율'!D8</f>
        <v>49500</v>
      </c>
      <c r="G5" s="113">
        <f>'초지 펄프 배합비율'!E8</f>
        <v>0.91697232410803597</v>
      </c>
      <c r="H5" s="112" t="str">
        <f>'초지 펄프 배합비율'!F8</f>
        <v/>
      </c>
      <c r="I5" s="112">
        <f>'초지 펄프 배합비율'!G8</f>
        <v>0</v>
      </c>
      <c r="J5" s="112">
        <f>'초지 펄프 배합비율'!H8</f>
        <v>0</v>
      </c>
      <c r="K5" s="112" t="str">
        <f>'초지 펄프 배합비율'!I8</f>
        <v/>
      </c>
      <c r="L5" s="112">
        <f>'초지 펄프 배합비율'!J8</f>
        <v>0</v>
      </c>
      <c r="M5" s="112">
        <f>'초지 펄프 배합비율'!K8</f>
        <v>0</v>
      </c>
      <c r="N5" s="112" t="str">
        <f>'초지 펄프 배합비율'!L8</f>
        <v/>
      </c>
      <c r="O5" s="112">
        <f>'초지 펄프 배합비율'!M8</f>
        <v>0</v>
      </c>
      <c r="P5" s="112">
        <f>'초지 펄프 배합비율'!N8</f>
        <v>0</v>
      </c>
      <c r="Q5" s="112" t="str">
        <f>'초지 펄프 배합비율'!O8</f>
        <v>멧자</v>
      </c>
      <c r="R5" s="112">
        <f>'초지 펄프 배합비율'!P8</f>
        <v>4482</v>
      </c>
      <c r="S5" s="115">
        <f>'초지 펄프 배합비율'!Q8</f>
        <v>8.3027675891963984E-2</v>
      </c>
      <c r="T5" s="112" t="str">
        <f>'초지 펄프 배합비율'!R8</f>
        <v/>
      </c>
      <c r="U5" s="112">
        <f>'초지 펄프 배합비율'!S8</f>
        <v>0</v>
      </c>
      <c r="V5" s="112">
        <f>'초지 펄프 배합비율'!T8</f>
        <v>0</v>
      </c>
      <c r="W5" s="112" t="str">
        <f>'초지 펄프 배합비율'!U8</f>
        <v/>
      </c>
      <c r="X5" s="112">
        <f>'초지 펄프 배합비율'!V8</f>
        <v>0</v>
      </c>
      <c r="Y5" s="112">
        <f>'초지 펄프 배합비율'!W8</f>
        <v>0</v>
      </c>
      <c r="Z5" s="112" t="str">
        <f>'초지 펄프 배합비율'!X8</f>
        <v/>
      </c>
      <c r="AA5" s="112">
        <f>'초지 펄프 배합비율'!Y8</f>
        <v>0</v>
      </c>
      <c r="AB5" s="112">
        <f>'초지 펄프 배합비율'!Z8</f>
        <v>0</v>
      </c>
      <c r="AC5" s="112">
        <f>'초지 펄프 배합비율'!AA8</f>
        <v>53982</v>
      </c>
      <c r="AD5" s="114">
        <f t="shared" ref="AD5:AD34" si="0">SUM(G5,J5,M5,P5,S5,V5,Y5,AB5)</f>
        <v>1</v>
      </c>
    </row>
    <row r="6" spans="1:30" x14ac:dyDescent="0.45">
      <c r="B6" t="s">
        <v>182</v>
      </c>
      <c r="C6" s="110">
        <v>46025</v>
      </c>
      <c r="D6" s="111">
        <v>0.27083333333333331</v>
      </c>
      <c r="E6" s="112" t="str">
        <f>'초지 펄프 배합비율'!C9</f>
        <v>Acacia</v>
      </c>
      <c r="F6" s="112">
        <f>'초지 펄프 배합비율'!D9</f>
        <v>49500</v>
      </c>
      <c r="G6" s="113">
        <f>'초지 펄프 배합비율'!E9</f>
        <v>0.91697232410803597</v>
      </c>
      <c r="H6" s="112" t="str">
        <f>'초지 펄프 배합비율'!F9</f>
        <v/>
      </c>
      <c r="I6" s="112">
        <f>'초지 펄프 배합비율'!G9</f>
        <v>0</v>
      </c>
      <c r="J6" s="112">
        <f>'초지 펄프 배합비율'!H9</f>
        <v>0</v>
      </c>
      <c r="K6" s="112" t="str">
        <f>'초지 펄프 배합비율'!I9</f>
        <v/>
      </c>
      <c r="L6" s="112">
        <f>'초지 펄프 배합비율'!J9</f>
        <v>0</v>
      </c>
      <c r="M6" s="112">
        <f>'초지 펄프 배합비율'!K9</f>
        <v>0</v>
      </c>
      <c r="N6" s="112" t="str">
        <f>'초지 펄프 배합비율'!L9</f>
        <v/>
      </c>
      <c r="O6" s="112">
        <f>'초지 펄프 배합비율'!M9</f>
        <v>0</v>
      </c>
      <c r="P6" s="112">
        <f>'초지 펄프 배합비율'!N9</f>
        <v>0</v>
      </c>
      <c r="Q6" s="112" t="str">
        <f>'초지 펄프 배합비율'!O9</f>
        <v>멧자</v>
      </c>
      <c r="R6" s="112">
        <f>'초지 펄프 배합비율'!P9</f>
        <v>4482</v>
      </c>
      <c r="S6" s="115">
        <f>'초지 펄프 배합비율'!Q9</f>
        <v>8.3027675891963984E-2</v>
      </c>
      <c r="T6" s="112" t="str">
        <f>'초지 펄프 배합비율'!R9</f>
        <v/>
      </c>
      <c r="U6" s="112">
        <f>'초지 펄프 배합비율'!S9</f>
        <v>0</v>
      </c>
      <c r="V6" s="112">
        <f>'초지 펄프 배합비율'!T9</f>
        <v>0</v>
      </c>
      <c r="W6" s="112" t="str">
        <f>'초지 펄프 배합비율'!U9</f>
        <v/>
      </c>
      <c r="X6" s="112">
        <f>'초지 펄프 배합비율'!V9</f>
        <v>0</v>
      </c>
      <c r="Y6" s="112">
        <f>'초지 펄프 배합비율'!W9</f>
        <v>0</v>
      </c>
      <c r="Z6" s="112" t="str">
        <f>'초지 펄프 배합비율'!X9</f>
        <v/>
      </c>
      <c r="AA6" s="112">
        <f>'초지 펄프 배합비율'!Y9</f>
        <v>0</v>
      </c>
      <c r="AB6" s="112">
        <f>'초지 펄프 배합비율'!Z9</f>
        <v>0</v>
      </c>
      <c r="AC6" s="112">
        <f>'초지 펄프 배합비율'!AA9</f>
        <v>53982</v>
      </c>
      <c r="AD6" s="114">
        <f t="shared" si="0"/>
        <v>1</v>
      </c>
    </row>
    <row r="7" spans="1:30" x14ac:dyDescent="0.45">
      <c r="B7" t="s">
        <v>183</v>
      </c>
      <c r="C7" s="110">
        <v>46026</v>
      </c>
      <c r="D7" s="111">
        <v>0.27083333333333298</v>
      </c>
      <c r="E7" s="112" t="str">
        <f>'초지 펄프 배합비율'!C10</f>
        <v>Acacia</v>
      </c>
      <c r="F7" s="112">
        <f>'초지 펄프 배합비율'!D10</f>
        <v>33750</v>
      </c>
      <c r="G7" s="113">
        <f>'초지 펄프 배합비율'!E10</f>
        <v>0.91248276421445373</v>
      </c>
      <c r="H7" s="112" t="str">
        <f>'초지 펄프 배합비율'!F10</f>
        <v/>
      </c>
      <c r="I7" s="112">
        <f>'초지 펄프 배합비율'!G10</f>
        <v>0</v>
      </c>
      <c r="J7" s="112">
        <f>'초지 펄프 배합비율'!H10</f>
        <v>0</v>
      </c>
      <c r="K7" s="112" t="str">
        <f>'초지 펄프 배합비율'!I10</f>
        <v/>
      </c>
      <c r="L7" s="112">
        <f>'초지 펄프 배합비율'!J10</f>
        <v>0</v>
      </c>
      <c r="M7" s="112">
        <f>'초지 펄프 배합비율'!K10</f>
        <v>0</v>
      </c>
      <c r="N7" s="112" t="str">
        <f>'초지 펄프 배합비율'!L10</f>
        <v/>
      </c>
      <c r="O7" s="112">
        <f>'초지 펄프 배합비율'!M10</f>
        <v>0</v>
      </c>
      <c r="P7" s="112">
        <f>'초지 펄프 배합비율'!N10</f>
        <v>0</v>
      </c>
      <c r="Q7" s="112" t="str">
        <f>'초지 펄프 배합비율'!O10</f>
        <v>멧자</v>
      </c>
      <c r="R7" s="112">
        <f>'초지 펄프 배합비율'!P10</f>
        <v>3237</v>
      </c>
      <c r="S7" s="115">
        <f>'초지 펄프 배합비율'!Q10</f>
        <v>8.751723578554628E-2</v>
      </c>
      <c r="T7" s="112" t="str">
        <f>'초지 펄프 배합비율'!R10</f>
        <v/>
      </c>
      <c r="U7" s="112">
        <f>'초지 펄프 배합비율'!S10</f>
        <v>0</v>
      </c>
      <c r="V7" s="112">
        <f>'초지 펄프 배합비율'!T10</f>
        <v>0</v>
      </c>
      <c r="W7" s="112" t="str">
        <f>'초지 펄프 배합비율'!U10</f>
        <v/>
      </c>
      <c r="X7" s="112">
        <f>'초지 펄프 배합비율'!V10</f>
        <v>0</v>
      </c>
      <c r="Y7" s="112">
        <f>'초지 펄프 배합비율'!W10</f>
        <v>0</v>
      </c>
      <c r="Z7" s="112" t="str">
        <f>'초지 펄프 배합비율'!X10</f>
        <v/>
      </c>
      <c r="AA7" s="112">
        <f>'초지 펄프 배합비율'!Y10</f>
        <v>0</v>
      </c>
      <c r="AB7" s="112">
        <f>'초지 펄프 배합비율'!Z10</f>
        <v>0</v>
      </c>
      <c r="AC7" s="112">
        <f>'초지 펄프 배합비율'!AA10</f>
        <v>36987</v>
      </c>
      <c r="AD7" s="114">
        <f t="shared" si="0"/>
        <v>1</v>
      </c>
    </row>
    <row r="8" spans="1:30" x14ac:dyDescent="0.45">
      <c r="B8" t="s">
        <v>183</v>
      </c>
      <c r="C8" s="110">
        <v>46027</v>
      </c>
      <c r="D8" s="111">
        <v>0.27083333333333298</v>
      </c>
      <c r="E8" s="112" t="str">
        <f>'초지 펄프 배합비율'!C11</f>
        <v/>
      </c>
      <c r="F8" s="112">
        <f>'초지 펄프 배합비율'!D11</f>
        <v>0</v>
      </c>
      <c r="G8" s="113" t="str">
        <f>'초지 펄프 배합비율'!E11</f>
        <v/>
      </c>
      <c r="H8" s="112" t="str">
        <f>'초지 펄프 배합비율'!F11</f>
        <v/>
      </c>
      <c r="I8" s="112">
        <f>'초지 펄프 배합비율'!G11</f>
        <v>0</v>
      </c>
      <c r="J8" s="112" t="str">
        <f>'초지 펄프 배합비율'!H11</f>
        <v/>
      </c>
      <c r="K8" s="112" t="str">
        <f>'초지 펄프 배합비율'!I11</f>
        <v/>
      </c>
      <c r="L8" s="112">
        <f>'초지 펄프 배합비율'!J11</f>
        <v>0</v>
      </c>
      <c r="M8" s="112" t="str">
        <f>'초지 펄프 배합비율'!K11</f>
        <v/>
      </c>
      <c r="N8" s="112" t="str">
        <f>'초지 펄프 배합비율'!L11</f>
        <v/>
      </c>
      <c r="O8" s="112">
        <f>'초지 펄프 배합비율'!M11</f>
        <v>0</v>
      </c>
      <c r="P8" s="112" t="str">
        <f>'초지 펄프 배합비율'!N11</f>
        <v/>
      </c>
      <c r="Q8" s="112" t="str">
        <f>'초지 펄프 배합비율'!O11</f>
        <v/>
      </c>
      <c r="R8" s="112">
        <f>'초지 펄프 배합비율'!P11</f>
        <v>0</v>
      </c>
      <c r="S8" s="115" t="str">
        <f>'초지 펄프 배합비율'!Q11</f>
        <v/>
      </c>
      <c r="T8" s="112" t="str">
        <f>'초지 펄프 배합비율'!R11</f>
        <v/>
      </c>
      <c r="U8" s="112">
        <f>'초지 펄프 배합비율'!S11</f>
        <v>0</v>
      </c>
      <c r="V8" s="112" t="str">
        <f>'초지 펄프 배합비율'!T11</f>
        <v/>
      </c>
      <c r="W8" s="112" t="str">
        <f>'초지 펄프 배합비율'!U11</f>
        <v/>
      </c>
      <c r="X8" s="112">
        <f>'초지 펄프 배합비율'!V11</f>
        <v>0</v>
      </c>
      <c r="Y8" s="112" t="str">
        <f>'초지 펄프 배합비율'!W11</f>
        <v/>
      </c>
      <c r="Z8" s="112" t="str">
        <f>'초지 펄프 배합비율'!X11</f>
        <v/>
      </c>
      <c r="AA8" s="112">
        <f>'초지 펄프 배합비율'!Y11</f>
        <v>0</v>
      </c>
      <c r="AB8" s="112" t="str">
        <f>'초지 펄프 배합비율'!Z11</f>
        <v/>
      </c>
      <c r="AC8" s="112">
        <f>'초지 펄프 배합비율'!AA11</f>
        <v>0</v>
      </c>
      <c r="AD8" s="114">
        <f t="shared" si="0"/>
        <v>0</v>
      </c>
    </row>
    <row r="9" spans="1:30" x14ac:dyDescent="0.45">
      <c r="B9" t="s">
        <v>183</v>
      </c>
      <c r="C9" s="110">
        <v>46028</v>
      </c>
      <c r="D9" s="111">
        <v>0.27083333333333298</v>
      </c>
      <c r="E9" s="112" t="str">
        <f>'초지 펄프 배합비율'!C12</f>
        <v/>
      </c>
      <c r="F9" s="112">
        <f>'초지 펄프 배합비율'!D12</f>
        <v>0</v>
      </c>
      <c r="G9" s="113" t="str">
        <f>'초지 펄프 배합비율'!E12</f>
        <v/>
      </c>
      <c r="H9" s="112" t="str">
        <f>'초지 펄프 배합비율'!F12</f>
        <v/>
      </c>
      <c r="I9" s="112">
        <f>'초지 펄프 배합비율'!G12</f>
        <v>0</v>
      </c>
      <c r="J9" s="112" t="str">
        <f>'초지 펄프 배합비율'!H12</f>
        <v/>
      </c>
      <c r="K9" s="112" t="str">
        <f>'초지 펄프 배합비율'!I12</f>
        <v/>
      </c>
      <c r="L9" s="112">
        <f>'초지 펄프 배합비율'!J12</f>
        <v>0</v>
      </c>
      <c r="M9" s="112" t="str">
        <f>'초지 펄프 배합비율'!K12</f>
        <v/>
      </c>
      <c r="N9" s="112" t="str">
        <f>'초지 펄프 배합비율'!L12</f>
        <v/>
      </c>
      <c r="O9" s="112">
        <f>'초지 펄프 배합비율'!M12</f>
        <v>0</v>
      </c>
      <c r="P9" s="112" t="str">
        <f>'초지 펄프 배합비율'!N12</f>
        <v/>
      </c>
      <c r="Q9" s="112" t="str">
        <f>'초지 펄프 배합비율'!O12</f>
        <v/>
      </c>
      <c r="R9" s="112">
        <f>'초지 펄프 배합비율'!P12</f>
        <v>0</v>
      </c>
      <c r="S9" s="115" t="str">
        <f>'초지 펄프 배합비율'!Q12</f>
        <v/>
      </c>
      <c r="T9" s="112" t="str">
        <f>'초지 펄프 배합비율'!R12</f>
        <v/>
      </c>
      <c r="U9" s="112">
        <f>'초지 펄프 배합비율'!S12</f>
        <v>0</v>
      </c>
      <c r="V9" s="112" t="str">
        <f>'초지 펄프 배합비율'!T12</f>
        <v/>
      </c>
      <c r="W9" s="112" t="str">
        <f>'초지 펄프 배합비율'!U12</f>
        <v/>
      </c>
      <c r="X9" s="112">
        <f>'초지 펄프 배합비율'!V12</f>
        <v>0</v>
      </c>
      <c r="Y9" s="112" t="str">
        <f>'초지 펄프 배합비율'!W12</f>
        <v/>
      </c>
      <c r="Z9" s="112" t="str">
        <f>'초지 펄프 배합비율'!X12</f>
        <v/>
      </c>
      <c r="AA9" s="112">
        <f>'초지 펄프 배합비율'!Y12</f>
        <v>0</v>
      </c>
      <c r="AB9" s="112" t="str">
        <f>'초지 펄프 배합비율'!Z12</f>
        <v/>
      </c>
      <c r="AC9" s="112">
        <f>'초지 펄프 배합비율'!AA12</f>
        <v>0</v>
      </c>
      <c r="AD9" s="114">
        <f t="shared" si="0"/>
        <v>0</v>
      </c>
    </row>
    <row r="10" spans="1:30" x14ac:dyDescent="0.45">
      <c r="B10" t="s">
        <v>183</v>
      </c>
      <c r="C10" s="110">
        <v>46029</v>
      </c>
      <c r="D10" s="111">
        <v>0.27083333333333298</v>
      </c>
      <c r="E10" s="112" t="str">
        <f>'초지 펄프 배합비율'!C13</f>
        <v/>
      </c>
      <c r="F10" s="112">
        <f>'초지 펄프 배합비율'!D13</f>
        <v>0</v>
      </c>
      <c r="G10" s="113" t="str">
        <f>'초지 펄프 배합비율'!E13</f>
        <v/>
      </c>
      <c r="H10" s="112" t="str">
        <f>'초지 펄프 배합비율'!F13</f>
        <v/>
      </c>
      <c r="I10" s="112">
        <f>'초지 펄프 배합비율'!G13</f>
        <v>0</v>
      </c>
      <c r="J10" s="112" t="str">
        <f>'초지 펄프 배합비율'!H13</f>
        <v/>
      </c>
      <c r="K10" s="112" t="str">
        <f>'초지 펄프 배합비율'!I13</f>
        <v/>
      </c>
      <c r="L10" s="112">
        <f>'초지 펄프 배합비율'!J13</f>
        <v>0</v>
      </c>
      <c r="M10" s="112" t="str">
        <f>'초지 펄프 배합비율'!K13</f>
        <v/>
      </c>
      <c r="N10" s="112" t="str">
        <f>'초지 펄프 배합비율'!L13</f>
        <v/>
      </c>
      <c r="O10" s="112">
        <f>'초지 펄프 배합비율'!M13</f>
        <v>0</v>
      </c>
      <c r="P10" s="112" t="str">
        <f>'초지 펄프 배합비율'!N13</f>
        <v/>
      </c>
      <c r="Q10" s="112" t="str">
        <f>'초지 펄프 배합비율'!O13</f>
        <v/>
      </c>
      <c r="R10" s="112">
        <f>'초지 펄프 배합비율'!P13</f>
        <v>0</v>
      </c>
      <c r="S10" s="115" t="str">
        <f>'초지 펄프 배합비율'!Q13</f>
        <v/>
      </c>
      <c r="T10" s="112" t="str">
        <f>'초지 펄프 배합비율'!R13</f>
        <v/>
      </c>
      <c r="U10" s="112">
        <f>'초지 펄프 배합비율'!S13</f>
        <v>0</v>
      </c>
      <c r="V10" s="112" t="str">
        <f>'초지 펄프 배합비율'!T13</f>
        <v/>
      </c>
      <c r="W10" s="112" t="str">
        <f>'초지 펄프 배합비율'!U13</f>
        <v/>
      </c>
      <c r="X10" s="112">
        <f>'초지 펄프 배합비율'!V13</f>
        <v>0</v>
      </c>
      <c r="Y10" s="112" t="str">
        <f>'초지 펄프 배합비율'!W13</f>
        <v/>
      </c>
      <c r="Z10" s="112" t="str">
        <f>'초지 펄프 배합비율'!X13</f>
        <v/>
      </c>
      <c r="AA10" s="112">
        <f>'초지 펄프 배합비율'!Y13</f>
        <v>0</v>
      </c>
      <c r="AB10" s="112" t="str">
        <f>'초지 펄프 배합비율'!Z13</f>
        <v/>
      </c>
      <c r="AC10" s="112">
        <f>'초지 펄프 배합비율'!AA13</f>
        <v>0</v>
      </c>
      <c r="AD10" s="114">
        <f t="shared" si="0"/>
        <v>0</v>
      </c>
    </row>
    <row r="11" spans="1:30" x14ac:dyDescent="0.45">
      <c r="B11" t="s">
        <v>183</v>
      </c>
      <c r="C11" s="110">
        <v>46030</v>
      </c>
      <c r="D11" s="111">
        <v>0.27083333333333298</v>
      </c>
      <c r="E11" s="112" t="str">
        <f>'초지 펄프 배합비율'!C14</f>
        <v/>
      </c>
      <c r="F11" s="112">
        <f>'초지 펄프 배합비율'!D14</f>
        <v>0</v>
      </c>
      <c r="G11" s="113" t="str">
        <f>'초지 펄프 배합비율'!E14</f>
        <v/>
      </c>
      <c r="H11" s="112" t="str">
        <f>'초지 펄프 배합비율'!F14</f>
        <v/>
      </c>
      <c r="I11" s="112">
        <f>'초지 펄프 배합비율'!G14</f>
        <v>0</v>
      </c>
      <c r="J11" s="112" t="str">
        <f>'초지 펄프 배합비율'!H14</f>
        <v/>
      </c>
      <c r="K11" s="112" t="str">
        <f>'초지 펄프 배합비율'!I14</f>
        <v/>
      </c>
      <c r="L11" s="112">
        <f>'초지 펄프 배합비율'!J14</f>
        <v>0</v>
      </c>
      <c r="M11" s="112" t="str">
        <f>'초지 펄프 배합비율'!K14</f>
        <v/>
      </c>
      <c r="N11" s="112" t="str">
        <f>'초지 펄프 배합비율'!L14</f>
        <v/>
      </c>
      <c r="O11" s="112">
        <f>'초지 펄프 배합비율'!M14</f>
        <v>0</v>
      </c>
      <c r="P11" s="112" t="str">
        <f>'초지 펄프 배합비율'!N14</f>
        <v/>
      </c>
      <c r="Q11" s="112" t="str">
        <f>'초지 펄프 배합비율'!O14</f>
        <v/>
      </c>
      <c r="R11" s="112">
        <f>'초지 펄프 배합비율'!P14</f>
        <v>0</v>
      </c>
      <c r="S11" s="115" t="str">
        <f>'초지 펄프 배합비율'!Q14</f>
        <v/>
      </c>
      <c r="T11" s="112" t="str">
        <f>'초지 펄프 배합비율'!R14</f>
        <v/>
      </c>
      <c r="U11" s="112">
        <f>'초지 펄프 배합비율'!S14</f>
        <v>0</v>
      </c>
      <c r="V11" s="112" t="str">
        <f>'초지 펄프 배합비율'!T14</f>
        <v/>
      </c>
      <c r="W11" s="112" t="str">
        <f>'초지 펄프 배합비율'!U14</f>
        <v/>
      </c>
      <c r="X11" s="112">
        <f>'초지 펄프 배합비율'!V14</f>
        <v>0</v>
      </c>
      <c r="Y11" s="112" t="str">
        <f>'초지 펄프 배합비율'!W14</f>
        <v/>
      </c>
      <c r="Z11" s="112" t="str">
        <f>'초지 펄프 배합비율'!X14</f>
        <v/>
      </c>
      <c r="AA11" s="112">
        <f>'초지 펄프 배합비율'!Y14</f>
        <v>0</v>
      </c>
      <c r="AB11" s="112" t="str">
        <f>'초지 펄프 배합비율'!Z14</f>
        <v/>
      </c>
      <c r="AC11" s="112">
        <f>'초지 펄프 배합비율'!AA14</f>
        <v>0</v>
      </c>
      <c r="AD11" s="114">
        <f t="shared" si="0"/>
        <v>0</v>
      </c>
    </row>
    <row r="12" spans="1:30" x14ac:dyDescent="0.45">
      <c r="B12" t="s">
        <v>183</v>
      </c>
      <c r="C12" s="110">
        <v>46031</v>
      </c>
      <c r="D12" s="111">
        <v>0.27083333333333298</v>
      </c>
      <c r="E12" s="112" t="str">
        <f>'초지 펄프 배합비율'!C15</f>
        <v>Acacia</v>
      </c>
      <c r="F12" s="112">
        <f>'초지 펄프 배합비율'!D15</f>
        <v>29500</v>
      </c>
      <c r="G12" s="113">
        <f>'초지 펄프 배합비율'!E15</f>
        <v>0.88761847449977438</v>
      </c>
      <c r="H12" s="112" t="str">
        <f>'초지 펄프 배합비율'!F15</f>
        <v/>
      </c>
      <c r="I12" s="112">
        <f>'초지 펄프 배합비율'!G15</f>
        <v>0</v>
      </c>
      <c r="J12" s="112">
        <f>'초지 펄프 배합비율'!H15</f>
        <v>0</v>
      </c>
      <c r="K12" s="112" t="str">
        <f>'초지 펄프 배합비율'!I15</f>
        <v/>
      </c>
      <c r="L12" s="112">
        <f>'초지 펄프 배합비율'!J15</f>
        <v>0</v>
      </c>
      <c r="M12" s="112">
        <f>'초지 펄프 배합비율'!K15</f>
        <v>0</v>
      </c>
      <c r="N12" s="112" t="str">
        <f>'초지 펄프 배합비율'!L15</f>
        <v/>
      </c>
      <c r="O12" s="112">
        <f>'초지 펄프 배합비율'!M15</f>
        <v>0</v>
      </c>
      <c r="P12" s="112">
        <f>'초지 펄프 배합비율'!N15</f>
        <v>0</v>
      </c>
      <c r="Q12" s="112" t="str">
        <f>'초지 펄프 배합비율'!O15</f>
        <v>멧자</v>
      </c>
      <c r="R12" s="112">
        <f>'초지 펄프 배합비율'!P15</f>
        <v>3735</v>
      </c>
      <c r="S12" s="115">
        <f>'초지 펄프 배합비율'!Q15</f>
        <v>0.11238152550022566</v>
      </c>
      <c r="T12" s="112" t="str">
        <f>'초지 펄프 배합비율'!R15</f>
        <v/>
      </c>
      <c r="U12" s="112">
        <f>'초지 펄프 배합비율'!S15</f>
        <v>0</v>
      </c>
      <c r="V12" s="112">
        <f>'초지 펄프 배합비율'!T15</f>
        <v>0</v>
      </c>
      <c r="W12" s="112" t="str">
        <f>'초지 펄프 배합비율'!U15</f>
        <v/>
      </c>
      <c r="X12" s="112">
        <f>'초지 펄프 배합비율'!V15</f>
        <v>0</v>
      </c>
      <c r="Y12" s="112">
        <f>'초지 펄프 배합비율'!W15</f>
        <v>0</v>
      </c>
      <c r="Z12" s="112" t="str">
        <f>'초지 펄프 배합비율'!X15</f>
        <v/>
      </c>
      <c r="AA12" s="112">
        <f>'초지 펄프 배합비율'!Y15</f>
        <v>0</v>
      </c>
      <c r="AB12" s="112">
        <f>'초지 펄프 배합비율'!Z15</f>
        <v>0</v>
      </c>
      <c r="AC12" s="112">
        <f>'초지 펄프 배합비율'!AA15</f>
        <v>33235</v>
      </c>
      <c r="AD12" s="114">
        <f t="shared" si="0"/>
        <v>1</v>
      </c>
    </row>
    <row r="13" spans="1:30" x14ac:dyDescent="0.45">
      <c r="B13" t="s">
        <v>183</v>
      </c>
      <c r="C13" s="110">
        <v>46032</v>
      </c>
      <c r="D13" s="111">
        <v>0.27083333333333298</v>
      </c>
      <c r="E13" s="112" t="str">
        <f>'초지 펄프 배합비율'!C16</f>
        <v>Acacia</v>
      </c>
      <c r="F13" s="112">
        <f>'초지 펄프 배합비율'!D16</f>
        <v>43000</v>
      </c>
      <c r="G13" s="113">
        <f>'초지 펄프 배합비율'!E16</f>
        <v>0.90088202635603698</v>
      </c>
      <c r="H13" s="112" t="str">
        <f>'초지 펄프 배합비율'!F16</f>
        <v/>
      </c>
      <c r="I13" s="112">
        <f>'초지 펄프 배합비율'!G16</f>
        <v>0</v>
      </c>
      <c r="J13" s="112">
        <f>'초지 펄프 배합비율'!H16</f>
        <v>0</v>
      </c>
      <c r="K13" s="112" t="str">
        <f>'초지 펄프 배합비율'!I16</f>
        <v/>
      </c>
      <c r="L13" s="112">
        <f>'초지 펄프 배합비율'!J16</f>
        <v>0</v>
      </c>
      <c r="M13" s="112">
        <f>'초지 펄프 배합비율'!K16</f>
        <v>0</v>
      </c>
      <c r="N13" s="112" t="str">
        <f>'초지 펄프 배합비율'!L16</f>
        <v/>
      </c>
      <c r="O13" s="112">
        <f>'초지 펄프 배합비율'!M16</f>
        <v>0</v>
      </c>
      <c r="P13" s="112">
        <f>'초지 펄프 배합비율'!N16</f>
        <v>0</v>
      </c>
      <c r="Q13" s="112" t="str">
        <f>'초지 펄프 배합비율'!O16</f>
        <v>멧자</v>
      </c>
      <c r="R13" s="112">
        <f>'초지 펄프 배합비율'!P16</f>
        <v>4731</v>
      </c>
      <c r="S13" s="115">
        <f>'초지 펄프 배합비율'!Q16</f>
        <v>9.9117973643963048E-2</v>
      </c>
      <c r="T13" s="112" t="str">
        <f>'초지 펄프 배합비율'!R16</f>
        <v/>
      </c>
      <c r="U13" s="112">
        <f>'초지 펄프 배합비율'!S16</f>
        <v>0</v>
      </c>
      <c r="V13" s="112">
        <f>'초지 펄프 배합비율'!T16</f>
        <v>0</v>
      </c>
      <c r="W13" s="112" t="str">
        <f>'초지 펄프 배합비율'!U16</f>
        <v/>
      </c>
      <c r="X13" s="112">
        <f>'초지 펄프 배합비율'!V16</f>
        <v>0</v>
      </c>
      <c r="Y13" s="112">
        <f>'초지 펄프 배합비율'!W16</f>
        <v>0</v>
      </c>
      <c r="Z13" s="112" t="str">
        <f>'초지 펄프 배합비율'!X16</f>
        <v/>
      </c>
      <c r="AA13" s="112">
        <f>'초지 펄프 배합비율'!Y16</f>
        <v>0</v>
      </c>
      <c r="AB13" s="112">
        <f>'초지 펄프 배합비율'!Z16</f>
        <v>0</v>
      </c>
      <c r="AC13" s="112">
        <f>'초지 펄프 배합비율'!AA16</f>
        <v>47731</v>
      </c>
      <c r="AD13" s="114">
        <f t="shared" si="0"/>
        <v>1</v>
      </c>
    </row>
    <row r="14" spans="1:30" x14ac:dyDescent="0.45">
      <c r="B14" t="s">
        <v>183</v>
      </c>
      <c r="C14" s="110">
        <v>46033</v>
      </c>
      <c r="D14" s="111">
        <v>0.27083333333333298</v>
      </c>
      <c r="E14" s="112" t="str">
        <f>'초지 펄프 배합비율'!C17</f>
        <v>Acacia</v>
      </c>
      <c r="F14" s="112">
        <f>'초지 펄프 배합비율'!D17</f>
        <v>40000</v>
      </c>
      <c r="G14" s="113">
        <f>'초지 펄프 배합비율'!E17</f>
        <v>0.88928412627834597</v>
      </c>
      <c r="H14" s="112" t="str">
        <f>'초지 펄프 배합비율'!F17</f>
        <v/>
      </c>
      <c r="I14" s="112">
        <f>'초지 펄프 배합비율'!G17</f>
        <v>0</v>
      </c>
      <c r="J14" s="112">
        <f>'초지 펄프 배합비율'!H17</f>
        <v>0</v>
      </c>
      <c r="K14" s="112" t="str">
        <f>'초지 펄프 배합비율'!I17</f>
        <v/>
      </c>
      <c r="L14" s="112">
        <f>'초지 펄프 배합비율'!J17</f>
        <v>0</v>
      </c>
      <c r="M14" s="112">
        <f>'초지 펄프 배합비율'!K17</f>
        <v>0</v>
      </c>
      <c r="N14" s="112" t="str">
        <f>'초지 펄프 배합비율'!L17</f>
        <v/>
      </c>
      <c r="O14" s="112">
        <f>'초지 펄프 배합비율'!M17</f>
        <v>0</v>
      </c>
      <c r="P14" s="112">
        <f>'초지 펄프 배합비율'!N17</f>
        <v>0</v>
      </c>
      <c r="Q14" s="112" t="str">
        <f>'초지 펄프 배합비율'!O17</f>
        <v>멧자</v>
      </c>
      <c r="R14" s="112">
        <f>'초지 펄프 배합비율'!P17</f>
        <v>4980</v>
      </c>
      <c r="S14" s="115">
        <f>'초지 펄프 배합비율'!Q17</f>
        <v>0.11071587372165406</v>
      </c>
      <c r="T14" s="112" t="str">
        <f>'초지 펄프 배합비율'!R17</f>
        <v/>
      </c>
      <c r="U14" s="112">
        <f>'초지 펄프 배합비율'!S17</f>
        <v>0</v>
      </c>
      <c r="V14" s="112">
        <f>'초지 펄프 배합비율'!T17</f>
        <v>0</v>
      </c>
      <c r="W14" s="112" t="str">
        <f>'초지 펄프 배합비율'!U17</f>
        <v/>
      </c>
      <c r="X14" s="112">
        <f>'초지 펄프 배합비율'!V17</f>
        <v>0</v>
      </c>
      <c r="Y14" s="112">
        <f>'초지 펄프 배합비율'!W17</f>
        <v>0</v>
      </c>
      <c r="Z14" s="112" t="str">
        <f>'초지 펄프 배합비율'!X17</f>
        <v/>
      </c>
      <c r="AA14" s="112">
        <f>'초지 펄프 배합비율'!Y17</f>
        <v>0</v>
      </c>
      <c r="AB14" s="112">
        <f>'초지 펄프 배합비율'!Z17</f>
        <v>0</v>
      </c>
      <c r="AC14" s="112">
        <f>'초지 펄프 배합비율'!AA17</f>
        <v>44980</v>
      </c>
      <c r="AD14" s="114">
        <f t="shared" si="0"/>
        <v>1</v>
      </c>
    </row>
    <row r="15" spans="1:30" x14ac:dyDescent="0.45">
      <c r="B15" t="s">
        <v>183</v>
      </c>
      <c r="C15" s="110">
        <v>46034</v>
      </c>
      <c r="D15" s="111">
        <v>0.27083333333333298</v>
      </c>
      <c r="E15" s="112" t="str">
        <f>'초지 펄프 배합비율'!C18</f>
        <v>Acacia</v>
      </c>
      <c r="F15" s="112">
        <f>'초지 펄프 배합비율'!D18</f>
        <v>43250</v>
      </c>
      <c r="G15" s="113">
        <f>'초지 펄프 배합비율'!E18</f>
        <v>0.86117637688662341</v>
      </c>
      <c r="H15" s="112" t="str">
        <f>'초지 펄프 배합비율'!F18</f>
        <v/>
      </c>
      <c r="I15" s="112">
        <f>'초지 펄프 배합비율'!G18</f>
        <v>0</v>
      </c>
      <c r="J15" s="112">
        <f>'초지 펄프 배합비율'!H18</f>
        <v>0</v>
      </c>
      <c r="K15" s="112" t="str">
        <f>'초지 펄프 배합비율'!I18</f>
        <v/>
      </c>
      <c r="L15" s="112">
        <f>'초지 펄프 배합비율'!J18</f>
        <v>0</v>
      </c>
      <c r="M15" s="112">
        <f>'초지 펄프 배합비율'!K18</f>
        <v>0</v>
      </c>
      <c r="N15" s="112" t="str">
        <f>'초지 펄프 배합비율'!L18</f>
        <v/>
      </c>
      <c r="O15" s="112">
        <f>'초지 펄프 배합비율'!M18</f>
        <v>0</v>
      </c>
      <c r="P15" s="112">
        <f>'초지 펄프 배합비율'!N18</f>
        <v>0</v>
      </c>
      <c r="Q15" s="112" t="str">
        <f>'초지 펄프 배합비율'!O18</f>
        <v>멧자</v>
      </c>
      <c r="R15" s="112">
        <f>'초지 펄프 배합비율'!P18</f>
        <v>6972</v>
      </c>
      <c r="S15" s="115">
        <f>'초지 펄프 배합비율'!Q18</f>
        <v>0.13882362311337662</v>
      </c>
      <c r="T15" s="112" t="str">
        <f>'초지 펄프 배합비율'!R18</f>
        <v/>
      </c>
      <c r="U15" s="112">
        <f>'초지 펄프 배합비율'!S18</f>
        <v>0</v>
      </c>
      <c r="V15" s="112">
        <f>'초지 펄프 배합비율'!T18</f>
        <v>0</v>
      </c>
      <c r="W15" s="112" t="str">
        <f>'초지 펄프 배합비율'!U18</f>
        <v/>
      </c>
      <c r="X15" s="112">
        <f>'초지 펄프 배합비율'!V18</f>
        <v>0</v>
      </c>
      <c r="Y15" s="112">
        <f>'초지 펄프 배합비율'!W18</f>
        <v>0</v>
      </c>
      <c r="Z15" s="112" t="str">
        <f>'초지 펄프 배합비율'!X18</f>
        <v/>
      </c>
      <c r="AA15" s="112">
        <f>'초지 펄프 배합비율'!Y18</f>
        <v>0</v>
      </c>
      <c r="AB15" s="112">
        <f>'초지 펄프 배합비율'!Z18</f>
        <v>0</v>
      </c>
      <c r="AC15" s="112">
        <f>'초지 펄프 배합비율'!AA18</f>
        <v>50222</v>
      </c>
      <c r="AD15" s="114">
        <f t="shared" si="0"/>
        <v>1</v>
      </c>
    </row>
    <row r="16" spans="1:30" x14ac:dyDescent="0.45">
      <c r="B16" t="s">
        <v>183</v>
      </c>
      <c r="C16" s="110">
        <v>46035</v>
      </c>
      <c r="D16" s="111">
        <v>0.27083333333333298</v>
      </c>
      <c r="E16" s="112" t="str">
        <f>'초지 펄프 배합비율'!C19</f>
        <v>Acacia</v>
      </c>
      <c r="F16" s="112">
        <f>'초지 펄프 배합비율'!D19</f>
        <v>29750</v>
      </c>
      <c r="G16" s="113">
        <f>'초지 펄프 배합비율'!E19</f>
        <v>0.7008410092110533</v>
      </c>
      <c r="H16" s="112" t="str">
        <f>'초지 펄프 배합비율'!F19</f>
        <v/>
      </c>
      <c r="I16" s="112">
        <f>'초지 펄프 배합비율'!G19</f>
        <v>0</v>
      </c>
      <c r="J16" s="112">
        <f>'초지 펄프 배합비율'!H19</f>
        <v>0</v>
      </c>
      <c r="K16" s="112" t="str">
        <f>'초지 펄프 배합비율'!I19</f>
        <v/>
      </c>
      <c r="L16" s="112">
        <f>'초지 펄프 배합비율'!J19</f>
        <v>0</v>
      </c>
      <c r="M16" s="112">
        <f>'초지 펄프 배합비율'!K19</f>
        <v>0</v>
      </c>
      <c r="N16" s="112" t="str">
        <f>'초지 펄프 배합비율'!L19</f>
        <v/>
      </c>
      <c r="O16" s="112">
        <f>'초지 펄프 배합비율'!M19</f>
        <v>0</v>
      </c>
      <c r="P16" s="112">
        <f>'초지 펄프 배합비율'!N19</f>
        <v>0</v>
      </c>
      <c r="Q16" s="112" t="str">
        <f>'초지 펄프 배합비율'!O19</f>
        <v>멧자</v>
      </c>
      <c r="R16" s="112">
        <f>'초지 펄프 배합비율'!P19</f>
        <v>12699</v>
      </c>
      <c r="S16" s="115">
        <f>'초지 펄프 배합비율'!Q19</f>
        <v>0.29915899078894675</v>
      </c>
      <c r="T16" s="112" t="str">
        <f>'초지 펄프 배합비율'!R19</f>
        <v/>
      </c>
      <c r="U16" s="112">
        <f>'초지 펄프 배합비율'!S19</f>
        <v>0</v>
      </c>
      <c r="V16" s="112">
        <f>'초지 펄프 배합비율'!T19</f>
        <v>0</v>
      </c>
      <c r="W16" s="112" t="str">
        <f>'초지 펄프 배합비율'!U19</f>
        <v/>
      </c>
      <c r="X16" s="112">
        <f>'초지 펄프 배합비율'!V19</f>
        <v>0</v>
      </c>
      <c r="Y16" s="112">
        <f>'초지 펄프 배합비율'!W19</f>
        <v>0</v>
      </c>
      <c r="Z16" s="112" t="str">
        <f>'초지 펄프 배합비율'!X19</f>
        <v/>
      </c>
      <c r="AA16" s="112">
        <f>'초지 펄프 배합비율'!Y19</f>
        <v>0</v>
      </c>
      <c r="AB16" s="112">
        <f>'초지 펄프 배합비율'!Z19</f>
        <v>0</v>
      </c>
      <c r="AC16" s="112">
        <f>'초지 펄프 배합비율'!AA19</f>
        <v>42449</v>
      </c>
      <c r="AD16" s="114">
        <f t="shared" si="0"/>
        <v>1</v>
      </c>
    </row>
    <row r="17" spans="2:30" x14ac:dyDescent="0.45">
      <c r="B17" t="s">
        <v>183</v>
      </c>
      <c r="C17" s="110">
        <v>46036</v>
      </c>
      <c r="D17" s="111">
        <v>0.27083333333333298</v>
      </c>
      <c r="E17" s="112" t="str">
        <f>'초지 펄프 배합비율'!C20</f>
        <v>Acacia</v>
      </c>
      <c r="F17" s="112">
        <f>'초지 펄프 배합비율'!D20</f>
        <v>36750</v>
      </c>
      <c r="G17" s="113">
        <f>'초지 펄프 배합비율'!E20</f>
        <v>0.7008410092110533</v>
      </c>
      <c r="H17" s="112" t="str">
        <f>'초지 펄프 배합비율'!F20</f>
        <v/>
      </c>
      <c r="I17" s="112">
        <f>'초지 펄프 배합비율'!G20</f>
        <v>0</v>
      </c>
      <c r="J17" s="112">
        <f>'초지 펄프 배합비율'!H20</f>
        <v>0</v>
      </c>
      <c r="K17" s="112" t="str">
        <f>'초지 펄프 배합비율'!I20</f>
        <v/>
      </c>
      <c r="L17" s="112">
        <f>'초지 펄프 배합비율'!J20</f>
        <v>0</v>
      </c>
      <c r="M17" s="112">
        <f>'초지 펄프 배합비율'!K20</f>
        <v>0</v>
      </c>
      <c r="N17" s="112" t="str">
        <f>'초지 펄프 배합비율'!L20</f>
        <v/>
      </c>
      <c r="O17" s="112">
        <f>'초지 펄프 배합비율'!M20</f>
        <v>0</v>
      </c>
      <c r="P17" s="112">
        <f>'초지 펄프 배합비율'!N20</f>
        <v>0</v>
      </c>
      <c r="Q17" s="112" t="str">
        <f>'초지 펄프 배합비율'!O20</f>
        <v>멧자</v>
      </c>
      <c r="R17" s="112">
        <f>'초지 펄프 배합비율'!P20</f>
        <v>15687</v>
      </c>
      <c r="S17" s="115">
        <f>'초지 펄프 배합비율'!Q20</f>
        <v>0.29915899078894675</v>
      </c>
      <c r="T17" s="112" t="str">
        <f>'초지 펄프 배합비율'!R20</f>
        <v/>
      </c>
      <c r="U17" s="112">
        <f>'초지 펄프 배합비율'!S20</f>
        <v>0</v>
      </c>
      <c r="V17" s="112">
        <f>'초지 펄프 배합비율'!T20</f>
        <v>0</v>
      </c>
      <c r="W17" s="112" t="str">
        <f>'초지 펄프 배합비율'!U20</f>
        <v/>
      </c>
      <c r="X17" s="112">
        <f>'초지 펄프 배합비율'!V20</f>
        <v>0</v>
      </c>
      <c r="Y17" s="112">
        <f>'초지 펄프 배합비율'!W20</f>
        <v>0</v>
      </c>
      <c r="Z17" s="112" t="str">
        <f>'초지 펄프 배합비율'!X20</f>
        <v/>
      </c>
      <c r="AA17" s="112">
        <f>'초지 펄프 배합비율'!Y20</f>
        <v>0</v>
      </c>
      <c r="AB17" s="112">
        <f>'초지 펄프 배합비율'!Z20</f>
        <v>0</v>
      </c>
      <c r="AC17" s="112">
        <f>'초지 펄프 배합비율'!AA20</f>
        <v>52437</v>
      </c>
      <c r="AD17" s="114">
        <f t="shared" si="0"/>
        <v>1</v>
      </c>
    </row>
    <row r="18" spans="2:30" x14ac:dyDescent="0.45">
      <c r="B18" t="s">
        <v>183</v>
      </c>
      <c r="C18" s="110">
        <v>46037</v>
      </c>
      <c r="D18" s="111">
        <v>0.27083333333333298</v>
      </c>
      <c r="E18" s="112" t="str">
        <f>'초지 펄프 배합비율'!C21</f>
        <v>Acacia</v>
      </c>
      <c r="F18" s="112">
        <f>'초지 펄프 배합비율'!D21</f>
        <v>32500</v>
      </c>
      <c r="G18" s="113">
        <f>'초지 펄프 배합비율'!E21</f>
        <v>0.67795903041428507</v>
      </c>
      <c r="H18" s="112" t="str">
        <f>'초지 펄프 배합비율'!F21</f>
        <v/>
      </c>
      <c r="I18" s="112">
        <f>'초지 펄프 배합비율'!G21</f>
        <v>0</v>
      </c>
      <c r="J18" s="112">
        <f>'초지 펄프 배합비율'!H21</f>
        <v>0</v>
      </c>
      <c r="K18" s="112" t="str">
        <f>'초지 펄프 배합비율'!I21</f>
        <v/>
      </c>
      <c r="L18" s="112">
        <f>'초지 펄프 배합비율'!J21</f>
        <v>0</v>
      </c>
      <c r="M18" s="112">
        <f>'초지 펄프 배합비율'!K21</f>
        <v>0</v>
      </c>
      <c r="N18" s="112" t="str">
        <f>'초지 펄프 배합비율'!L21</f>
        <v/>
      </c>
      <c r="O18" s="112">
        <f>'초지 펄프 배합비율'!M21</f>
        <v>0</v>
      </c>
      <c r="P18" s="112">
        <f>'초지 펄프 배합비율'!N21</f>
        <v>0</v>
      </c>
      <c r="Q18" s="112" t="str">
        <f>'초지 펄프 배합비율'!O21</f>
        <v>멧자</v>
      </c>
      <c r="R18" s="112">
        <f>'초지 펄프 배합비율'!P21</f>
        <v>15438</v>
      </c>
      <c r="S18" s="115">
        <f>'초지 펄프 배합비율'!Q21</f>
        <v>0.32204096958571488</v>
      </c>
      <c r="T18" s="112" t="str">
        <f>'초지 펄프 배합비율'!R21</f>
        <v/>
      </c>
      <c r="U18" s="112">
        <f>'초지 펄프 배합비율'!S21</f>
        <v>0</v>
      </c>
      <c r="V18" s="112">
        <f>'초지 펄프 배합비율'!T21</f>
        <v>0</v>
      </c>
      <c r="W18" s="112" t="str">
        <f>'초지 펄프 배합비율'!U21</f>
        <v/>
      </c>
      <c r="X18" s="112">
        <f>'초지 펄프 배합비율'!V21</f>
        <v>0</v>
      </c>
      <c r="Y18" s="112">
        <f>'초지 펄프 배합비율'!W21</f>
        <v>0</v>
      </c>
      <c r="Z18" s="112" t="str">
        <f>'초지 펄프 배합비율'!X21</f>
        <v/>
      </c>
      <c r="AA18" s="112">
        <f>'초지 펄프 배합비율'!Y21</f>
        <v>0</v>
      </c>
      <c r="AB18" s="112">
        <f>'초지 펄프 배합비율'!Z21</f>
        <v>0</v>
      </c>
      <c r="AC18" s="112">
        <f>'초지 펄프 배합비율'!AA21</f>
        <v>47938</v>
      </c>
      <c r="AD18" s="114">
        <f t="shared" si="0"/>
        <v>1</v>
      </c>
    </row>
    <row r="19" spans="2:30" x14ac:dyDescent="0.45">
      <c r="B19" t="s">
        <v>183</v>
      </c>
      <c r="C19" s="110">
        <v>46038</v>
      </c>
      <c r="D19" s="111">
        <v>0.27083333333333298</v>
      </c>
      <c r="E19" s="112" t="str">
        <f>'초지 펄프 배합비율'!C22</f>
        <v>Acacia</v>
      </c>
      <c r="F19" s="112">
        <f>'초지 펄프 배합비율'!D22</f>
        <v>33250</v>
      </c>
      <c r="G19" s="113">
        <f>'초지 펄프 배합비율'!E22</f>
        <v>0.7008410092110533</v>
      </c>
      <c r="H19" s="112" t="str">
        <f>'초지 펄프 배합비율'!F22</f>
        <v/>
      </c>
      <c r="I19" s="112">
        <f>'초지 펄프 배합비율'!G22</f>
        <v>0</v>
      </c>
      <c r="J19" s="112">
        <f>'초지 펄프 배합비율'!H22</f>
        <v>0</v>
      </c>
      <c r="K19" s="112" t="str">
        <f>'초지 펄프 배합비율'!I22</f>
        <v/>
      </c>
      <c r="L19" s="112">
        <f>'초지 펄프 배합비율'!J22</f>
        <v>0</v>
      </c>
      <c r="M19" s="112">
        <f>'초지 펄프 배합비율'!K22</f>
        <v>0</v>
      </c>
      <c r="N19" s="112" t="str">
        <f>'초지 펄프 배합비율'!L22</f>
        <v/>
      </c>
      <c r="O19" s="112">
        <f>'초지 펄프 배합비율'!M22</f>
        <v>0</v>
      </c>
      <c r="P19" s="112">
        <f>'초지 펄프 배합비율'!N22</f>
        <v>0</v>
      </c>
      <c r="Q19" s="112" t="str">
        <f>'초지 펄프 배합비율'!O22</f>
        <v>멧자</v>
      </c>
      <c r="R19" s="112">
        <f>'초지 펄프 배합비율'!P22</f>
        <v>14193</v>
      </c>
      <c r="S19" s="115">
        <f>'초지 펄프 배합비율'!Q22</f>
        <v>0.29915899078894675</v>
      </c>
      <c r="T19" s="112" t="str">
        <f>'초지 펄프 배합비율'!R22</f>
        <v/>
      </c>
      <c r="U19" s="112">
        <f>'초지 펄프 배합비율'!S22</f>
        <v>0</v>
      </c>
      <c r="V19" s="112">
        <f>'초지 펄프 배합비율'!T22</f>
        <v>0</v>
      </c>
      <c r="W19" s="112" t="str">
        <f>'초지 펄프 배합비율'!U22</f>
        <v/>
      </c>
      <c r="X19" s="112">
        <f>'초지 펄프 배합비율'!V22</f>
        <v>0</v>
      </c>
      <c r="Y19" s="112">
        <f>'초지 펄프 배합비율'!W22</f>
        <v>0</v>
      </c>
      <c r="Z19" s="112" t="str">
        <f>'초지 펄프 배합비율'!X22</f>
        <v/>
      </c>
      <c r="AA19" s="112">
        <f>'초지 펄프 배합비율'!Y22</f>
        <v>0</v>
      </c>
      <c r="AB19" s="112">
        <f>'초지 펄프 배합비율'!Z22</f>
        <v>0</v>
      </c>
      <c r="AC19" s="112">
        <f>'초지 펄프 배합비율'!AA22</f>
        <v>47443</v>
      </c>
      <c r="AD19" s="114">
        <f t="shared" si="0"/>
        <v>1</v>
      </c>
    </row>
    <row r="20" spans="2:30" x14ac:dyDescent="0.45">
      <c r="B20" t="s">
        <v>183</v>
      </c>
      <c r="C20" s="110">
        <v>46039</v>
      </c>
      <c r="D20" s="111">
        <v>0.27083333333333298</v>
      </c>
      <c r="E20" s="112" t="str">
        <f>'초지 펄프 배합비율'!C23</f>
        <v>Acacia</v>
      </c>
      <c r="F20" s="112">
        <f>'초지 펄프 배합비율'!D23</f>
        <v>39250</v>
      </c>
      <c r="G20" s="113">
        <f>'초지 펄프 배합비율'!E23</f>
        <v>0.88243890375233258</v>
      </c>
      <c r="H20" s="112" t="str">
        <f>'초지 펄프 배합비율'!F23</f>
        <v/>
      </c>
      <c r="I20" s="112">
        <f>'초지 펄프 배합비율'!G23</f>
        <v>0</v>
      </c>
      <c r="J20" s="112">
        <f>'초지 펄프 배합비율'!H23</f>
        <v>0</v>
      </c>
      <c r="K20" s="112" t="str">
        <f>'초지 펄프 배합비율'!I23</f>
        <v/>
      </c>
      <c r="L20" s="112">
        <f>'초지 펄프 배합비율'!J23</f>
        <v>0</v>
      </c>
      <c r="M20" s="112">
        <f>'초지 펄프 배합비율'!K23</f>
        <v>0</v>
      </c>
      <c r="N20" s="112" t="str">
        <f>'초지 펄프 배합비율'!L23</f>
        <v/>
      </c>
      <c r="O20" s="112">
        <f>'초지 펄프 배합비율'!M23</f>
        <v>0</v>
      </c>
      <c r="P20" s="112">
        <f>'초지 펄프 배합비율'!N23</f>
        <v>0</v>
      </c>
      <c r="Q20" s="112" t="str">
        <f>'초지 펄프 배합비율'!O23</f>
        <v>멧자</v>
      </c>
      <c r="R20" s="112">
        <f>'초지 펄프 배합비율'!P23</f>
        <v>5229</v>
      </c>
      <c r="S20" s="115">
        <f>'초지 펄프 배합비율'!Q23</f>
        <v>0.11756109624766743</v>
      </c>
      <c r="T20" s="112" t="str">
        <f>'초지 펄프 배합비율'!R23</f>
        <v/>
      </c>
      <c r="U20" s="112">
        <f>'초지 펄프 배합비율'!S23</f>
        <v>0</v>
      </c>
      <c r="V20" s="112">
        <f>'초지 펄프 배합비율'!T23</f>
        <v>0</v>
      </c>
      <c r="W20" s="112" t="str">
        <f>'초지 펄프 배합비율'!U23</f>
        <v/>
      </c>
      <c r="X20" s="112">
        <f>'초지 펄프 배합비율'!V23</f>
        <v>0</v>
      </c>
      <c r="Y20" s="112">
        <f>'초지 펄프 배합비율'!W23</f>
        <v>0</v>
      </c>
      <c r="Z20" s="112" t="str">
        <f>'초지 펄프 배합비율'!X23</f>
        <v/>
      </c>
      <c r="AA20" s="112">
        <f>'초지 펄프 배합비율'!Y23</f>
        <v>0</v>
      </c>
      <c r="AB20" s="112">
        <f>'초지 펄프 배합비율'!Z23</f>
        <v>0</v>
      </c>
      <c r="AC20" s="112">
        <f>'초지 펄프 배합비율'!AA23</f>
        <v>44479</v>
      </c>
      <c r="AD20" s="114">
        <f t="shared" si="0"/>
        <v>1</v>
      </c>
    </row>
    <row r="21" spans="2:30" x14ac:dyDescent="0.45">
      <c r="B21" t="s">
        <v>183</v>
      </c>
      <c r="C21" s="110">
        <v>46040</v>
      </c>
      <c r="D21" s="111">
        <v>0.27083333333333298</v>
      </c>
      <c r="E21" s="112" t="str">
        <f>'초지 펄프 배합비율'!C24</f>
        <v>Acacia</v>
      </c>
      <c r="F21" s="112">
        <f>'초지 펄프 배합비율'!D24</f>
        <v>49250</v>
      </c>
      <c r="G21" s="113">
        <f>'초지 펄프 배합비율'!E24</f>
        <v>0.91235805190715247</v>
      </c>
      <c r="H21" s="112" t="str">
        <f>'초지 펄프 배합비율'!F24</f>
        <v/>
      </c>
      <c r="I21" s="112">
        <f>'초지 펄프 배합비율'!G24</f>
        <v>0</v>
      </c>
      <c r="J21" s="112">
        <f>'초지 펄프 배합비율'!H24</f>
        <v>0</v>
      </c>
      <c r="K21" s="112" t="str">
        <f>'초지 펄프 배합비율'!I24</f>
        <v/>
      </c>
      <c r="L21" s="112">
        <f>'초지 펄프 배합비율'!J24</f>
        <v>0</v>
      </c>
      <c r="M21" s="112">
        <f>'초지 펄프 배합비율'!K24</f>
        <v>0</v>
      </c>
      <c r="N21" s="112" t="str">
        <f>'초지 펄프 배합비율'!L24</f>
        <v/>
      </c>
      <c r="O21" s="112">
        <f>'초지 펄프 배합비율'!M24</f>
        <v>0</v>
      </c>
      <c r="P21" s="112">
        <f>'초지 펄프 배합비율'!N24</f>
        <v>0</v>
      </c>
      <c r="Q21" s="112" t="str">
        <f>'초지 펄프 배합비율'!O24</f>
        <v>멧자</v>
      </c>
      <c r="R21" s="112">
        <f>'초지 펄프 배합비율'!P24</f>
        <v>4731</v>
      </c>
      <c r="S21" s="115">
        <f>'초지 펄프 배합비율'!Q24</f>
        <v>8.7641948092847477E-2</v>
      </c>
      <c r="T21" s="112" t="str">
        <f>'초지 펄프 배합비율'!R24</f>
        <v/>
      </c>
      <c r="U21" s="112">
        <f>'초지 펄프 배합비율'!S24</f>
        <v>0</v>
      </c>
      <c r="V21" s="112">
        <f>'초지 펄프 배합비율'!T24</f>
        <v>0</v>
      </c>
      <c r="W21" s="112" t="str">
        <f>'초지 펄프 배합비율'!U24</f>
        <v/>
      </c>
      <c r="X21" s="112">
        <f>'초지 펄프 배합비율'!V24</f>
        <v>0</v>
      </c>
      <c r="Y21" s="112">
        <f>'초지 펄프 배합비율'!W24</f>
        <v>0</v>
      </c>
      <c r="Z21" s="112" t="str">
        <f>'초지 펄프 배합비율'!X24</f>
        <v/>
      </c>
      <c r="AA21" s="112">
        <f>'초지 펄프 배합비율'!Y24</f>
        <v>0</v>
      </c>
      <c r="AB21" s="112">
        <f>'초지 펄프 배합비율'!Z24</f>
        <v>0</v>
      </c>
      <c r="AC21" s="112">
        <f>'초지 펄프 배합비율'!AA24</f>
        <v>53981</v>
      </c>
      <c r="AD21" s="114">
        <f t="shared" si="0"/>
        <v>1</v>
      </c>
    </row>
    <row r="22" spans="2:30" x14ac:dyDescent="0.45">
      <c r="B22" t="s">
        <v>183</v>
      </c>
      <c r="C22" s="110">
        <v>46041</v>
      </c>
      <c r="D22" s="111">
        <v>0.27083333333333298</v>
      </c>
      <c r="E22" s="112" t="str">
        <f>'초지 펄프 배합비율'!C25</f>
        <v>Acacia</v>
      </c>
      <c r="F22" s="112">
        <f>'초지 펄프 배합비율'!D25</f>
        <v>43750</v>
      </c>
      <c r="G22" s="113">
        <f>'초지 펄프 배합비율'!E25</f>
        <v>0.8978042273753335</v>
      </c>
      <c r="H22" s="112" t="str">
        <f>'초지 펄프 배합비율'!F25</f>
        <v/>
      </c>
      <c r="I22" s="112">
        <f>'초지 펄프 배합비율'!G25</f>
        <v>0</v>
      </c>
      <c r="J22" s="112">
        <f>'초지 펄프 배합비율'!H25</f>
        <v>0</v>
      </c>
      <c r="K22" s="112" t="str">
        <f>'초지 펄프 배합비율'!I25</f>
        <v/>
      </c>
      <c r="L22" s="112">
        <f>'초지 펄프 배합비율'!J25</f>
        <v>0</v>
      </c>
      <c r="M22" s="112">
        <f>'초지 펄프 배합비율'!K25</f>
        <v>0</v>
      </c>
      <c r="N22" s="112" t="str">
        <f>'초지 펄프 배합비율'!L25</f>
        <v/>
      </c>
      <c r="O22" s="112">
        <f>'초지 펄프 배합비율'!M25</f>
        <v>0</v>
      </c>
      <c r="P22" s="112">
        <f>'초지 펄프 배합비율'!N25</f>
        <v>0</v>
      </c>
      <c r="Q22" s="112" t="str">
        <f>'초지 펄프 배합비율'!O25</f>
        <v>멧자</v>
      </c>
      <c r="R22" s="112">
        <f>'초지 펄프 배합비율'!P25</f>
        <v>4980</v>
      </c>
      <c r="S22" s="115">
        <f>'초지 펄프 배합비율'!Q25</f>
        <v>0.10219577262466653</v>
      </c>
      <c r="T22" s="112" t="str">
        <f>'초지 펄프 배합비율'!R25</f>
        <v/>
      </c>
      <c r="U22" s="112">
        <f>'초지 펄프 배합비율'!S25</f>
        <v>0</v>
      </c>
      <c r="V22" s="112">
        <f>'초지 펄프 배합비율'!T25</f>
        <v>0</v>
      </c>
      <c r="W22" s="112" t="str">
        <f>'초지 펄프 배합비율'!U25</f>
        <v/>
      </c>
      <c r="X22" s="112">
        <f>'초지 펄프 배합비율'!V25</f>
        <v>0</v>
      </c>
      <c r="Y22" s="112">
        <f>'초지 펄프 배합비율'!W25</f>
        <v>0</v>
      </c>
      <c r="Z22" s="112" t="str">
        <f>'초지 펄프 배합비율'!X25</f>
        <v/>
      </c>
      <c r="AA22" s="112">
        <f>'초지 펄프 배합비율'!Y25</f>
        <v>0</v>
      </c>
      <c r="AB22" s="112">
        <f>'초지 펄프 배합비율'!Z25</f>
        <v>0</v>
      </c>
      <c r="AC22" s="112">
        <f>'초지 펄프 배합비율'!AA25</f>
        <v>48730</v>
      </c>
      <c r="AD22" s="114">
        <f t="shared" si="0"/>
        <v>1</v>
      </c>
    </row>
    <row r="23" spans="2:30" x14ac:dyDescent="0.45">
      <c r="B23" t="s">
        <v>183</v>
      </c>
      <c r="C23" s="110">
        <v>46042</v>
      </c>
      <c r="D23" s="111">
        <v>0.27083333333333298</v>
      </c>
      <c r="E23" s="112" t="str">
        <f>'초지 펄프 배합비율'!C26</f>
        <v>Acacia</v>
      </c>
      <c r="F23" s="112">
        <f>'초지 펄프 배합비율'!D26</f>
        <v>43000</v>
      </c>
      <c r="G23" s="113">
        <f>'초지 펄프 배합비율'!E26</f>
        <v>0.90560633503222276</v>
      </c>
      <c r="H23" s="112" t="str">
        <f>'초지 펄프 배합비율'!F26</f>
        <v/>
      </c>
      <c r="I23" s="112">
        <f>'초지 펄프 배합비율'!G26</f>
        <v>0</v>
      </c>
      <c r="J23" s="112">
        <f>'초지 펄프 배합비율'!H26</f>
        <v>0</v>
      </c>
      <c r="K23" s="112" t="str">
        <f>'초지 펄프 배합비율'!I26</f>
        <v/>
      </c>
      <c r="L23" s="112">
        <f>'초지 펄프 배합비율'!J26</f>
        <v>0</v>
      </c>
      <c r="M23" s="112">
        <f>'초지 펄프 배합비율'!K26</f>
        <v>0</v>
      </c>
      <c r="N23" s="112" t="str">
        <f>'초지 펄프 배합비율'!L26</f>
        <v/>
      </c>
      <c r="O23" s="112">
        <f>'초지 펄프 배합비율'!M26</f>
        <v>0</v>
      </c>
      <c r="P23" s="112">
        <f>'초지 펄프 배합비율'!N26</f>
        <v>0</v>
      </c>
      <c r="Q23" s="112" t="str">
        <f>'초지 펄프 배합비율'!O26</f>
        <v>멧자</v>
      </c>
      <c r="R23" s="112">
        <f>'초지 펄프 배합비율'!P26</f>
        <v>4482</v>
      </c>
      <c r="S23" s="115">
        <f>'초지 펄프 배합비율'!Q26</f>
        <v>9.4393664967777263E-2</v>
      </c>
      <c r="T23" s="112" t="str">
        <f>'초지 펄프 배합비율'!R26</f>
        <v/>
      </c>
      <c r="U23" s="112">
        <f>'초지 펄프 배합비율'!S26</f>
        <v>0</v>
      </c>
      <c r="V23" s="112">
        <f>'초지 펄프 배합비율'!T26</f>
        <v>0</v>
      </c>
      <c r="W23" s="112" t="str">
        <f>'초지 펄프 배합비율'!U26</f>
        <v/>
      </c>
      <c r="X23" s="112">
        <f>'초지 펄프 배합비율'!V26</f>
        <v>0</v>
      </c>
      <c r="Y23" s="112">
        <f>'초지 펄프 배합비율'!W26</f>
        <v>0</v>
      </c>
      <c r="Z23" s="112" t="str">
        <f>'초지 펄프 배합비율'!X26</f>
        <v/>
      </c>
      <c r="AA23" s="112">
        <f>'초지 펄프 배합비율'!Y26</f>
        <v>0</v>
      </c>
      <c r="AB23" s="112">
        <f>'초지 펄프 배합비율'!Z26</f>
        <v>0</v>
      </c>
      <c r="AC23" s="112">
        <f>'초지 펄프 배합비율'!AA26</f>
        <v>47482</v>
      </c>
      <c r="AD23" s="114">
        <f t="shared" si="0"/>
        <v>1</v>
      </c>
    </row>
    <row r="24" spans="2:30" x14ac:dyDescent="0.45">
      <c r="B24" t="s">
        <v>183</v>
      </c>
      <c r="C24" s="110">
        <v>46043</v>
      </c>
      <c r="D24" s="111">
        <v>0.27083333333333298</v>
      </c>
      <c r="E24" s="112" t="str">
        <f>'초지 펄프 배합비율'!C27</f>
        <v>Acacia</v>
      </c>
      <c r="F24" s="112">
        <f>'초지 펄프 배합비율'!D27</f>
        <v>42000</v>
      </c>
      <c r="G24" s="113">
        <f>'초지 펄프 배합비율'!E27</f>
        <v>0.88928412627834597</v>
      </c>
      <c r="H24" s="112" t="str">
        <f>'초지 펄프 배합비율'!F27</f>
        <v/>
      </c>
      <c r="I24" s="112">
        <f>'초지 펄프 배합비율'!G27</f>
        <v>0</v>
      </c>
      <c r="J24" s="112">
        <f>'초지 펄프 배합비율'!H27</f>
        <v>0</v>
      </c>
      <c r="K24" s="112" t="str">
        <f>'초지 펄프 배합비율'!I27</f>
        <v/>
      </c>
      <c r="L24" s="112">
        <f>'초지 펄프 배합비율'!J27</f>
        <v>0</v>
      </c>
      <c r="M24" s="112">
        <f>'초지 펄프 배합비율'!K27</f>
        <v>0</v>
      </c>
      <c r="N24" s="112" t="str">
        <f>'초지 펄프 배합비율'!L27</f>
        <v/>
      </c>
      <c r="O24" s="112">
        <f>'초지 펄프 배합비율'!M27</f>
        <v>0</v>
      </c>
      <c r="P24" s="112">
        <f>'초지 펄프 배합비율'!N27</f>
        <v>0</v>
      </c>
      <c r="Q24" s="112" t="str">
        <f>'초지 펄프 배합비율'!O27</f>
        <v>멧자</v>
      </c>
      <c r="R24" s="112">
        <f>'초지 펄프 배합비율'!P27</f>
        <v>5229</v>
      </c>
      <c r="S24" s="115">
        <f>'초지 펄프 배합비율'!Q27</f>
        <v>0.11071587372165406</v>
      </c>
      <c r="T24" s="112" t="str">
        <f>'초지 펄프 배합비율'!R27</f>
        <v/>
      </c>
      <c r="U24" s="112">
        <f>'초지 펄프 배합비율'!S27</f>
        <v>0</v>
      </c>
      <c r="V24" s="112">
        <f>'초지 펄프 배합비율'!T27</f>
        <v>0</v>
      </c>
      <c r="W24" s="112" t="str">
        <f>'초지 펄프 배합비율'!U27</f>
        <v/>
      </c>
      <c r="X24" s="112">
        <f>'초지 펄프 배합비율'!V27</f>
        <v>0</v>
      </c>
      <c r="Y24" s="112">
        <f>'초지 펄프 배합비율'!W27</f>
        <v>0</v>
      </c>
      <c r="Z24" s="112" t="str">
        <f>'초지 펄프 배합비율'!X27</f>
        <v/>
      </c>
      <c r="AA24" s="112">
        <f>'초지 펄프 배합비율'!Y27</f>
        <v>0</v>
      </c>
      <c r="AB24" s="112">
        <f>'초지 펄프 배합비율'!Z27</f>
        <v>0</v>
      </c>
      <c r="AC24" s="112">
        <f>'초지 펄프 배합비율'!AA27</f>
        <v>47229</v>
      </c>
      <c r="AD24" s="114">
        <f t="shared" si="0"/>
        <v>1</v>
      </c>
    </row>
    <row r="25" spans="2:30" x14ac:dyDescent="0.45">
      <c r="B25" t="s">
        <v>183</v>
      </c>
      <c r="C25" s="110">
        <v>46044</v>
      </c>
      <c r="D25" s="111">
        <v>0.27083333333333298</v>
      </c>
      <c r="E25" s="112" t="str">
        <f>'초지 펄프 배합비율'!C28</f>
        <v>Acacia</v>
      </c>
      <c r="F25" s="112">
        <f>'초지 펄프 배합비율'!D28</f>
        <v>40750</v>
      </c>
      <c r="G25" s="113">
        <f>'초지 펄프 배합비율'!E28</f>
        <v>0.89109993439755086</v>
      </c>
      <c r="H25" s="112" t="str">
        <f>'초지 펄프 배합비율'!F28</f>
        <v/>
      </c>
      <c r="I25" s="112">
        <f>'초지 펄프 배합비율'!G28</f>
        <v>0</v>
      </c>
      <c r="J25" s="112">
        <f>'초지 펄프 배합비율'!H28</f>
        <v>0</v>
      </c>
      <c r="K25" s="112" t="str">
        <f>'초지 펄프 배합비율'!I28</f>
        <v/>
      </c>
      <c r="L25" s="112">
        <f>'초지 펄프 배합비율'!J28</f>
        <v>0</v>
      </c>
      <c r="M25" s="112">
        <f>'초지 펄프 배합비율'!K28</f>
        <v>0</v>
      </c>
      <c r="N25" s="112" t="str">
        <f>'초지 펄프 배합비율'!L28</f>
        <v/>
      </c>
      <c r="O25" s="112">
        <f>'초지 펄프 배합비율'!M28</f>
        <v>0</v>
      </c>
      <c r="P25" s="112">
        <f>'초지 펄프 배합비율'!N28</f>
        <v>0</v>
      </c>
      <c r="Q25" s="112" t="str">
        <f>'초지 펄프 배합비율'!O28</f>
        <v>멧자</v>
      </c>
      <c r="R25" s="112">
        <f>'초지 펄프 배합비율'!P28</f>
        <v>4980</v>
      </c>
      <c r="S25" s="115">
        <f>'초지 펄프 배합비율'!Q28</f>
        <v>0.10890006560244916</v>
      </c>
      <c r="T25" s="112" t="str">
        <f>'초지 펄프 배합비율'!R28</f>
        <v/>
      </c>
      <c r="U25" s="112">
        <f>'초지 펄프 배합비율'!S28</f>
        <v>0</v>
      </c>
      <c r="V25" s="112">
        <f>'초지 펄프 배합비율'!T28</f>
        <v>0</v>
      </c>
      <c r="W25" s="112" t="str">
        <f>'초지 펄프 배합비율'!U28</f>
        <v/>
      </c>
      <c r="X25" s="112">
        <f>'초지 펄프 배합비율'!V28</f>
        <v>0</v>
      </c>
      <c r="Y25" s="112">
        <f>'초지 펄프 배합비율'!W28</f>
        <v>0</v>
      </c>
      <c r="Z25" s="112" t="str">
        <f>'초지 펄프 배합비율'!X28</f>
        <v/>
      </c>
      <c r="AA25" s="112">
        <f>'초지 펄프 배합비율'!Y28</f>
        <v>0</v>
      </c>
      <c r="AB25" s="112">
        <f>'초지 펄프 배합비율'!Z28</f>
        <v>0</v>
      </c>
      <c r="AC25" s="112">
        <f>'초지 펄프 배합비율'!AA28</f>
        <v>45730</v>
      </c>
      <c r="AD25" s="114">
        <f t="shared" si="0"/>
        <v>1</v>
      </c>
    </row>
    <row r="26" spans="2:30" x14ac:dyDescent="0.45">
      <c r="B26" t="s">
        <v>183</v>
      </c>
      <c r="C26" s="110">
        <v>46045</v>
      </c>
      <c r="D26" s="111">
        <v>0.27083333333333298</v>
      </c>
      <c r="E26" s="112" t="str">
        <f>'초지 펄프 배합비율'!C29</f>
        <v>Acacia</v>
      </c>
      <c r="F26" s="112">
        <f>'초지 펄프 배합비율'!D29</f>
        <v>49500</v>
      </c>
      <c r="G26" s="113">
        <f>'초지 펄프 배합비율'!E29</f>
        <v>0.9003601440576231</v>
      </c>
      <c r="H26" s="112" t="str">
        <f>'초지 펄프 배합비율'!F29</f>
        <v/>
      </c>
      <c r="I26" s="112">
        <f>'초지 펄프 배합비율'!G29</f>
        <v>0</v>
      </c>
      <c r="J26" s="112">
        <f>'초지 펄프 배합비율'!H29</f>
        <v>0</v>
      </c>
      <c r="K26" s="112" t="str">
        <f>'초지 펄프 배합비율'!I29</f>
        <v/>
      </c>
      <c r="L26" s="112">
        <f>'초지 펄프 배합비율'!J29</f>
        <v>0</v>
      </c>
      <c r="M26" s="112">
        <f>'초지 펄프 배합비율'!K29</f>
        <v>0</v>
      </c>
      <c r="N26" s="112" t="str">
        <f>'초지 펄프 배합비율'!L29</f>
        <v/>
      </c>
      <c r="O26" s="112">
        <f>'초지 펄프 배합비율'!M29</f>
        <v>0</v>
      </c>
      <c r="P26" s="112">
        <f>'초지 펄프 배합비율'!N29</f>
        <v>0</v>
      </c>
      <c r="Q26" s="112" t="str">
        <f>'초지 펄프 배합비율'!O29</f>
        <v>멧자</v>
      </c>
      <c r="R26" s="112">
        <f>'초지 펄프 배합비율'!P29</f>
        <v>5478</v>
      </c>
      <c r="S26" s="115">
        <f>'초지 펄프 배합비율'!Q29</f>
        <v>9.9639855942376954E-2</v>
      </c>
      <c r="T26" s="112" t="str">
        <f>'초지 펄프 배합비율'!R29</f>
        <v/>
      </c>
      <c r="U26" s="112">
        <f>'초지 펄프 배합비율'!S29</f>
        <v>0</v>
      </c>
      <c r="V26" s="112">
        <f>'초지 펄프 배합비율'!T29</f>
        <v>0</v>
      </c>
      <c r="W26" s="112" t="str">
        <f>'초지 펄프 배합비율'!U29</f>
        <v/>
      </c>
      <c r="X26" s="112">
        <f>'초지 펄프 배합비율'!V29</f>
        <v>0</v>
      </c>
      <c r="Y26" s="112">
        <f>'초지 펄프 배합비율'!W29</f>
        <v>0</v>
      </c>
      <c r="Z26" s="112" t="str">
        <f>'초지 펄프 배합비율'!X29</f>
        <v/>
      </c>
      <c r="AA26" s="112">
        <f>'초지 펄프 배합비율'!Y29</f>
        <v>0</v>
      </c>
      <c r="AB26" s="112">
        <f>'초지 펄프 배합비율'!Z29</f>
        <v>0</v>
      </c>
      <c r="AC26" s="112">
        <f>'초지 펄프 배합비율'!AA29</f>
        <v>54978</v>
      </c>
      <c r="AD26" s="114">
        <f t="shared" si="0"/>
        <v>1</v>
      </c>
    </row>
    <row r="27" spans="2:30" x14ac:dyDescent="0.45">
      <c r="B27" t="s">
        <v>183</v>
      </c>
      <c r="C27" s="110">
        <v>46046</v>
      </c>
      <c r="D27" s="111">
        <v>0.27083333333333298</v>
      </c>
      <c r="E27" s="112" t="str">
        <f>'초지 펄프 배합비율'!C30</f>
        <v>Acacia</v>
      </c>
      <c r="F27" s="112">
        <f>'초지 펄프 배합비율'!D30</f>
        <v>44000</v>
      </c>
      <c r="G27" s="113">
        <f>'초지 펄프 배합비율'!E30</f>
        <v>0.88928412627834597</v>
      </c>
      <c r="H27" s="112" t="str">
        <f>'초지 펄프 배합비율'!F30</f>
        <v/>
      </c>
      <c r="I27" s="112">
        <f>'초지 펄프 배합비율'!G30</f>
        <v>0</v>
      </c>
      <c r="J27" s="112">
        <f>'초지 펄프 배합비율'!H30</f>
        <v>0</v>
      </c>
      <c r="K27" s="112" t="str">
        <f>'초지 펄프 배합비율'!I30</f>
        <v/>
      </c>
      <c r="L27" s="112">
        <f>'초지 펄프 배합비율'!J30</f>
        <v>0</v>
      </c>
      <c r="M27" s="112">
        <f>'초지 펄프 배합비율'!K30</f>
        <v>0</v>
      </c>
      <c r="N27" s="112" t="str">
        <f>'초지 펄프 배합비율'!L30</f>
        <v/>
      </c>
      <c r="O27" s="112">
        <f>'초지 펄프 배합비율'!M30</f>
        <v>0</v>
      </c>
      <c r="P27" s="112">
        <f>'초지 펄프 배합비율'!N30</f>
        <v>0</v>
      </c>
      <c r="Q27" s="112" t="str">
        <f>'초지 펄프 배합비율'!O30</f>
        <v>멧자</v>
      </c>
      <c r="R27" s="112">
        <f>'초지 펄프 배합비율'!P30</f>
        <v>5478</v>
      </c>
      <c r="S27" s="115">
        <f>'초지 펄프 배합비율'!Q30</f>
        <v>0.11071587372165406</v>
      </c>
      <c r="T27" s="112" t="str">
        <f>'초지 펄프 배합비율'!R30</f>
        <v/>
      </c>
      <c r="U27" s="112">
        <f>'초지 펄프 배합비율'!S30</f>
        <v>0</v>
      </c>
      <c r="V27" s="112">
        <f>'초지 펄프 배합비율'!T30</f>
        <v>0</v>
      </c>
      <c r="W27" s="112" t="str">
        <f>'초지 펄프 배합비율'!U30</f>
        <v/>
      </c>
      <c r="X27" s="112">
        <f>'초지 펄프 배합비율'!V30</f>
        <v>0</v>
      </c>
      <c r="Y27" s="112">
        <f>'초지 펄프 배합비율'!W30</f>
        <v>0</v>
      </c>
      <c r="Z27" s="112" t="str">
        <f>'초지 펄프 배합비율'!X30</f>
        <v/>
      </c>
      <c r="AA27" s="112">
        <f>'초지 펄프 배합비율'!Y30</f>
        <v>0</v>
      </c>
      <c r="AB27" s="112">
        <f>'초지 펄프 배합비율'!Z30</f>
        <v>0</v>
      </c>
      <c r="AC27" s="112">
        <f>'초지 펄프 배합비율'!AA30</f>
        <v>49478</v>
      </c>
      <c r="AD27" s="114">
        <f t="shared" si="0"/>
        <v>1</v>
      </c>
    </row>
    <row r="28" spans="2:30" x14ac:dyDescent="0.45">
      <c r="B28" t="s">
        <v>183</v>
      </c>
      <c r="C28" s="110">
        <v>46047</v>
      </c>
      <c r="D28" s="111">
        <v>0.27083333333333298</v>
      </c>
      <c r="E28" s="112" t="str">
        <f>'초지 펄프 배합비율'!C31</f>
        <v>Acacia</v>
      </c>
      <c r="F28" s="112">
        <f>'초지 펄프 배합비율'!D31</f>
        <v>46000</v>
      </c>
      <c r="G28" s="113">
        <f>'초지 펄프 배합비율'!E31</f>
        <v>0.88928412627834597</v>
      </c>
      <c r="H28" s="112" t="str">
        <f>'초지 펄프 배합비율'!F31</f>
        <v/>
      </c>
      <c r="I28" s="112">
        <f>'초지 펄프 배합비율'!G31</f>
        <v>0</v>
      </c>
      <c r="J28" s="112">
        <f>'초지 펄프 배합비율'!H31</f>
        <v>0</v>
      </c>
      <c r="K28" s="112" t="str">
        <f>'초지 펄프 배합비율'!I31</f>
        <v/>
      </c>
      <c r="L28" s="112">
        <f>'초지 펄프 배합비율'!J31</f>
        <v>0</v>
      </c>
      <c r="M28" s="112">
        <f>'초지 펄프 배합비율'!K31</f>
        <v>0</v>
      </c>
      <c r="N28" s="112" t="str">
        <f>'초지 펄프 배합비율'!L31</f>
        <v/>
      </c>
      <c r="O28" s="112">
        <f>'초지 펄프 배합비율'!M31</f>
        <v>0</v>
      </c>
      <c r="P28" s="112">
        <f>'초지 펄프 배합비율'!N31</f>
        <v>0</v>
      </c>
      <c r="Q28" s="112" t="str">
        <f>'초지 펄프 배합비율'!O31</f>
        <v>멧자</v>
      </c>
      <c r="R28" s="112">
        <f>'초지 펄프 배합비율'!P31</f>
        <v>5727</v>
      </c>
      <c r="S28" s="115">
        <f>'초지 펄프 배합비율'!Q31</f>
        <v>0.11071587372165406</v>
      </c>
      <c r="T28" s="112" t="str">
        <f>'초지 펄프 배합비율'!R31</f>
        <v/>
      </c>
      <c r="U28" s="112">
        <f>'초지 펄프 배합비율'!S31</f>
        <v>0</v>
      </c>
      <c r="V28" s="112">
        <f>'초지 펄프 배합비율'!T31</f>
        <v>0</v>
      </c>
      <c r="W28" s="112" t="str">
        <f>'초지 펄프 배합비율'!U31</f>
        <v/>
      </c>
      <c r="X28" s="112">
        <f>'초지 펄프 배합비율'!V31</f>
        <v>0</v>
      </c>
      <c r="Y28" s="112">
        <f>'초지 펄프 배합비율'!W31</f>
        <v>0</v>
      </c>
      <c r="Z28" s="112" t="str">
        <f>'초지 펄프 배합비율'!X31</f>
        <v/>
      </c>
      <c r="AA28" s="112">
        <f>'초지 펄프 배합비율'!Y31</f>
        <v>0</v>
      </c>
      <c r="AB28" s="112">
        <f>'초지 펄프 배합비율'!Z31</f>
        <v>0</v>
      </c>
      <c r="AC28" s="112">
        <f>'초지 펄프 배합비율'!AA31</f>
        <v>51727</v>
      </c>
      <c r="AD28" s="114">
        <f t="shared" si="0"/>
        <v>1</v>
      </c>
    </row>
    <row r="29" spans="2:30" x14ac:dyDescent="0.45">
      <c r="B29" t="s">
        <v>183</v>
      </c>
      <c r="C29" s="110">
        <v>46048</v>
      </c>
      <c r="D29" s="111">
        <v>0.27083333333333298</v>
      </c>
      <c r="E29" s="112" t="str">
        <f>'초지 펄프 배합비율'!C32</f>
        <v>Acacia</v>
      </c>
      <c r="F29" s="112">
        <f>'초지 펄프 배합비율'!D32</f>
        <v>47000</v>
      </c>
      <c r="G29" s="113">
        <f>'초지 펄프 배합비율'!E32</f>
        <v>0.79725878680960782</v>
      </c>
      <c r="H29" s="112" t="str">
        <f>'초지 펄프 배합비율'!F32</f>
        <v/>
      </c>
      <c r="I29" s="112">
        <f>'초지 펄프 배합비율'!G32</f>
        <v>0</v>
      </c>
      <c r="J29" s="112">
        <f>'초지 펄프 배합비율'!H32</f>
        <v>0</v>
      </c>
      <c r="K29" s="112" t="str">
        <f>'초지 펄프 배합비율'!I32</f>
        <v/>
      </c>
      <c r="L29" s="112">
        <f>'초지 펄프 배합비율'!J32</f>
        <v>0</v>
      </c>
      <c r="M29" s="112">
        <f>'초지 펄프 배합비율'!K32</f>
        <v>0</v>
      </c>
      <c r="N29" s="112" t="str">
        <f>'초지 펄프 배합비율'!L32</f>
        <v/>
      </c>
      <c r="O29" s="112">
        <f>'초지 펄프 배합비율'!M32</f>
        <v>0</v>
      </c>
      <c r="P29" s="112">
        <f>'초지 펄프 배합비율'!N32</f>
        <v>0</v>
      </c>
      <c r="Q29" s="112" t="str">
        <f>'초지 펄프 배합비율'!O32</f>
        <v>멧자</v>
      </c>
      <c r="R29" s="112">
        <f>'초지 펄프 배합비율'!P32</f>
        <v>11952</v>
      </c>
      <c r="S29" s="115">
        <f>'초지 펄프 배합비율'!Q32</f>
        <v>0.20274121319039218</v>
      </c>
      <c r="T29" s="112" t="str">
        <f>'초지 펄프 배합비율'!R32</f>
        <v/>
      </c>
      <c r="U29" s="112">
        <f>'초지 펄프 배합비율'!S32</f>
        <v>0</v>
      </c>
      <c r="V29" s="112">
        <f>'초지 펄프 배합비율'!T32</f>
        <v>0</v>
      </c>
      <c r="W29" s="112" t="str">
        <f>'초지 펄프 배합비율'!U32</f>
        <v/>
      </c>
      <c r="X29" s="112">
        <f>'초지 펄프 배합비율'!V32</f>
        <v>0</v>
      </c>
      <c r="Y29" s="112">
        <f>'초지 펄프 배합비율'!W32</f>
        <v>0</v>
      </c>
      <c r="Z29" s="112" t="str">
        <f>'초지 펄프 배합비율'!X32</f>
        <v/>
      </c>
      <c r="AA29" s="112">
        <f>'초지 펄프 배합비율'!Y32</f>
        <v>0</v>
      </c>
      <c r="AB29" s="112">
        <f>'초지 펄프 배합비율'!Z32</f>
        <v>0</v>
      </c>
      <c r="AC29" s="112">
        <f>'초지 펄프 배합비율'!AA32</f>
        <v>58952</v>
      </c>
      <c r="AD29" s="114">
        <f t="shared" si="0"/>
        <v>1</v>
      </c>
    </row>
    <row r="30" spans="2:30" x14ac:dyDescent="0.45">
      <c r="B30" t="s">
        <v>183</v>
      </c>
      <c r="C30" s="110">
        <v>46049</v>
      </c>
      <c r="D30" s="111">
        <v>0.27083333333333298</v>
      </c>
      <c r="E30" s="112" t="str">
        <f>'초지 펄프 배합비율'!C33</f>
        <v>Acacia</v>
      </c>
      <c r="F30" s="112">
        <f>'초지 펄프 배합비율'!D33</f>
        <v>37250</v>
      </c>
      <c r="G30" s="113">
        <f>'초지 펄프 배합비율'!E33</f>
        <v>0.66904950068252034</v>
      </c>
      <c r="H30" s="112" t="str">
        <f>'초지 펄프 배합비율'!F33</f>
        <v/>
      </c>
      <c r="I30" s="112">
        <f>'초지 펄프 배합비율'!G33</f>
        <v>0</v>
      </c>
      <c r="J30" s="112">
        <f>'초지 펄프 배합비율'!H33</f>
        <v>0</v>
      </c>
      <c r="K30" s="112" t="str">
        <f>'초지 펄프 배합비율'!I33</f>
        <v/>
      </c>
      <c r="L30" s="112">
        <f>'초지 펄프 배합비율'!J33</f>
        <v>0</v>
      </c>
      <c r="M30" s="112">
        <f>'초지 펄프 배합비율'!K33</f>
        <v>0</v>
      </c>
      <c r="N30" s="112" t="str">
        <f>'초지 펄프 배합비율'!L33</f>
        <v/>
      </c>
      <c r="O30" s="112">
        <f>'초지 펄프 배합비율'!M33</f>
        <v>0</v>
      </c>
      <c r="P30" s="112">
        <f>'초지 펄프 배합비율'!N33</f>
        <v>0</v>
      </c>
      <c r="Q30" s="112" t="str">
        <f>'초지 펄프 배합비율'!O33</f>
        <v>멧자</v>
      </c>
      <c r="R30" s="112">
        <f>'초지 펄프 배합비율'!P33</f>
        <v>18426</v>
      </c>
      <c r="S30" s="115">
        <f>'초지 펄프 배합비율'!Q33</f>
        <v>0.33095049931747972</v>
      </c>
      <c r="T30" s="112" t="str">
        <f>'초지 펄프 배합비율'!R33</f>
        <v/>
      </c>
      <c r="U30" s="112">
        <f>'초지 펄프 배합비율'!S33</f>
        <v>0</v>
      </c>
      <c r="V30" s="112">
        <f>'초지 펄프 배합비율'!T33</f>
        <v>0</v>
      </c>
      <c r="W30" s="112" t="str">
        <f>'초지 펄프 배합비율'!U33</f>
        <v/>
      </c>
      <c r="X30" s="112">
        <f>'초지 펄프 배합비율'!V33</f>
        <v>0</v>
      </c>
      <c r="Y30" s="112">
        <f>'초지 펄프 배합비율'!W33</f>
        <v>0</v>
      </c>
      <c r="Z30" s="112" t="str">
        <f>'초지 펄프 배합비율'!X33</f>
        <v/>
      </c>
      <c r="AA30" s="112">
        <f>'초지 펄프 배합비율'!Y33</f>
        <v>0</v>
      </c>
      <c r="AB30" s="112">
        <f>'초지 펄프 배합비율'!Z33</f>
        <v>0</v>
      </c>
      <c r="AC30" s="112">
        <f>'초지 펄프 배합비율'!AA33</f>
        <v>55676</v>
      </c>
      <c r="AD30" s="114">
        <f t="shared" si="0"/>
        <v>1</v>
      </c>
    </row>
    <row r="31" spans="2:30" x14ac:dyDescent="0.45">
      <c r="B31" t="s">
        <v>183</v>
      </c>
      <c r="C31" s="110">
        <v>46050</v>
      </c>
      <c r="D31" s="111">
        <v>0.27083333333333298</v>
      </c>
      <c r="E31" s="112" t="str">
        <f>'초지 펄프 배합비율'!C34</f>
        <v>Acacia</v>
      </c>
      <c r="F31" s="112">
        <f>'초지 펄프 배합비율'!D34</f>
        <v>31750</v>
      </c>
      <c r="G31" s="113">
        <f>'초지 펄프 배합비율'!E34</f>
        <v>0.63592845554509581</v>
      </c>
      <c r="H31" s="112" t="str">
        <f>'초지 펄프 배합비율'!F34</f>
        <v/>
      </c>
      <c r="I31" s="112">
        <f>'초지 펄프 배합비율'!G34</f>
        <v>0</v>
      </c>
      <c r="J31" s="112">
        <f>'초지 펄프 배합비율'!H34</f>
        <v>0</v>
      </c>
      <c r="K31" s="112" t="str">
        <f>'초지 펄프 배합비율'!I34</f>
        <v/>
      </c>
      <c r="L31" s="112">
        <f>'초지 펄프 배합비율'!J34</f>
        <v>0</v>
      </c>
      <c r="M31" s="112">
        <f>'초지 펄프 배합비율'!K34</f>
        <v>0</v>
      </c>
      <c r="N31" s="112" t="str">
        <f>'초지 펄프 배합비율'!L34</f>
        <v/>
      </c>
      <c r="O31" s="112">
        <f>'초지 펄프 배합비율'!M34</f>
        <v>0</v>
      </c>
      <c r="P31" s="112">
        <f>'초지 펄프 배합비율'!N34</f>
        <v>0</v>
      </c>
      <c r="Q31" s="112" t="str">
        <f>'초지 펄프 배합비율'!O34</f>
        <v>멧자</v>
      </c>
      <c r="R31" s="112">
        <f>'초지 펄프 배합비율'!P34</f>
        <v>18177</v>
      </c>
      <c r="S31" s="115">
        <f>'초지 펄프 배합비율'!Q34</f>
        <v>0.36407154445490414</v>
      </c>
      <c r="T31" s="112" t="str">
        <f>'초지 펄프 배합비율'!R34</f>
        <v/>
      </c>
      <c r="U31" s="112">
        <f>'초지 펄프 배합비율'!S34</f>
        <v>0</v>
      </c>
      <c r="V31" s="112">
        <f>'초지 펄프 배합비율'!T34</f>
        <v>0</v>
      </c>
      <c r="W31" s="112" t="str">
        <f>'초지 펄프 배합비율'!U34</f>
        <v/>
      </c>
      <c r="X31" s="112">
        <f>'초지 펄프 배합비율'!V34</f>
        <v>0</v>
      </c>
      <c r="Y31" s="112">
        <f>'초지 펄프 배합비율'!W34</f>
        <v>0</v>
      </c>
      <c r="Z31" s="112" t="str">
        <f>'초지 펄프 배합비율'!X34</f>
        <v/>
      </c>
      <c r="AA31" s="112">
        <f>'초지 펄프 배합비율'!Y34</f>
        <v>0</v>
      </c>
      <c r="AB31" s="112">
        <f>'초지 펄프 배합비율'!Z34</f>
        <v>0</v>
      </c>
      <c r="AC31" s="112">
        <f>'초지 펄프 배합비율'!AA34</f>
        <v>49927</v>
      </c>
      <c r="AD31" s="114">
        <f t="shared" si="0"/>
        <v>1</v>
      </c>
    </row>
    <row r="32" spans="2:30" x14ac:dyDescent="0.45">
      <c r="B32" t="s">
        <v>183</v>
      </c>
      <c r="C32" s="110">
        <v>46051</v>
      </c>
      <c r="D32" s="111">
        <v>0.27083333333333298</v>
      </c>
      <c r="E32" s="112" t="str">
        <f>'초지 펄프 배합비율'!C35</f>
        <v>Acacia</v>
      </c>
      <c r="F32" s="112">
        <f>'초지 펄프 배합비율'!D35</f>
        <v>35250</v>
      </c>
      <c r="G32" s="113">
        <f>'초지 펄프 배합비율'!E35</f>
        <v>0.82997810270537542</v>
      </c>
      <c r="H32" s="112" t="str">
        <f>'초지 펄프 배합비율'!F35</f>
        <v/>
      </c>
      <c r="I32" s="112">
        <f>'초지 펄프 배합비율'!G35</f>
        <v>0</v>
      </c>
      <c r="J32" s="112">
        <f>'초지 펄프 배합비율'!H35</f>
        <v>0</v>
      </c>
      <c r="K32" s="112" t="str">
        <f>'초지 펄프 배합비율'!I35</f>
        <v/>
      </c>
      <c r="L32" s="112">
        <f>'초지 펄프 배합비율'!J35</f>
        <v>0</v>
      </c>
      <c r="M32" s="112">
        <f>'초지 펄프 배합비율'!K35</f>
        <v>0</v>
      </c>
      <c r="N32" s="112" t="str">
        <f>'초지 펄프 배합비율'!L35</f>
        <v/>
      </c>
      <c r="O32" s="112">
        <f>'초지 펄프 배합비율'!M35</f>
        <v>0</v>
      </c>
      <c r="P32" s="112">
        <f>'초지 펄프 배합비율'!N35</f>
        <v>0</v>
      </c>
      <c r="Q32" s="112" t="str">
        <f>'초지 펄프 배합비율'!O35</f>
        <v>멧자</v>
      </c>
      <c r="R32" s="112">
        <f>'초지 펄프 배합비율'!P35</f>
        <v>7221</v>
      </c>
      <c r="S32" s="115">
        <f>'초지 펄프 배합비율'!Q35</f>
        <v>0.17002189729462458</v>
      </c>
      <c r="T32" s="112" t="str">
        <f>'초지 펄프 배합비율'!R35</f>
        <v/>
      </c>
      <c r="U32" s="112">
        <f>'초지 펄프 배합비율'!S35</f>
        <v>0</v>
      </c>
      <c r="V32" s="112">
        <f>'초지 펄프 배합비율'!T35</f>
        <v>0</v>
      </c>
      <c r="W32" s="112" t="str">
        <f>'초지 펄프 배합비율'!U35</f>
        <v/>
      </c>
      <c r="X32" s="112">
        <f>'초지 펄프 배합비율'!V35</f>
        <v>0</v>
      </c>
      <c r="Y32" s="112">
        <f>'초지 펄프 배합비율'!W35</f>
        <v>0</v>
      </c>
      <c r="Z32" s="112" t="str">
        <f>'초지 펄프 배합비율'!X35</f>
        <v/>
      </c>
      <c r="AA32" s="112">
        <f>'초지 펄프 배합비율'!Y35</f>
        <v>0</v>
      </c>
      <c r="AB32" s="112">
        <f>'초지 펄프 배합비율'!Z35</f>
        <v>0</v>
      </c>
      <c r="AC32" s="112">
        <f>'초지 펄프 배합비율'!AA35</f>
        <v>42471</v>
      </c>
      <c r="AD32" s="114">
        <f t="shared" si="0"/>
        <v>1</v>
      </c>
    </row>
    <row r="33" spans="2:30" x14ac:dyDescent="0.45">
      <c r="B33" t="s">
        <v>183</v>
      </c>
      <c r="C33" s="110">
        <v>46052</v>
      </c>
      <c r="D33" s="111">
        <v>0.27083333333333298</v>
      </c>
      <c r="E33" s="112" t="str">
        <f>'초지 펄프 배합비율'!C36</f>
        <v>Acacia</v>
      </c>
      <c r="F33" s="112">
        <f>'초지 펄프 배합비율'!D36</f>
        <v>42000</v>
      </c>
      <c r="G33" s="113">
        <f>'초지 펄프 배합비율'!E36</f>
        <v>0.88928412627834597</v>
      </c>
      <c r="H33" s="112" t="str">
        <f>'초지 펄프 배합비율'!F36</f>
        <v/>
      </c>
      <c r="I33" s="112">
        <f>'초지 펄프 배합비율'!G36</f>
        <v>0</v>
      </c>
      <c r="J33" s="112">
        <f>'초지 펄프 배합비율'!H36</f>
        <v>0</v>
      </c>
      <c r="K33" s="112" t="str">
        <f>'초지 펄프 배합비율'!I36</f>
        <v/>
      </c>
      <c r="L33" s="112">
        <f>'초지 펄프 배합비율'!J36</f>
        <v>0</v>
      </c>
      <c r="M33" s="112">
        <f>'초지 펄프 배합비율'!K36</f>
        <v>0</v>
      </c>
      <c r="N33" s="112" t="str">
        <f>'초지 펄프 배합비율'!L36</f>
        <v/>
      </c>
      <c r="O33" s="112">
        <f>'초지 펄프 배합비율'!M36</f>
        <v>0</v>
      </c>
      <c r="P33" s="112">
        <f>'초지 펄프 배합비율'!N36</f>
        <v>0</v>
      </c>
      <c r="Q33" s="112" t="str">
        <f>'초지 펄프 배합비율'!O36</f>
        <v>멧자</v>
      </c>
      <c r="R33" s="112">
        <f>'초지 펄프 배합비율'!P36</f>
        <v>5229</v>
      </c>
      <c r="S33" s="115">
        <f>'초지 펄프 배합비율'!Q36</f>
        <v>0.11071587372165406</v>
      </c>
      <c r="T33" s="112" t="str">
        <f>'초지 펄프 배합비율'!R36</f>
        <v/>
      </c>
      <c r="U33" s="112">
        <f>'초지 펄프 배합비율'!S36</f>
        <v>0</v>
      </c>
      <c r="V33" s="112">
        <f>'초지 펄프 배합비율'!T36</f>
        <v>0</v>
      </c>
      <c r="W33" s="112" t="str">
        <f>'초지 펄프 배합비율'!U36</f>
        <v/>
      </c>
      <c r="X33" s="112">
        <f>'초지 펄프 배합비율'!V36</f>
        <v>0</v>
      </c>
      <c r="Y33" s="112">
        <f>'초지 펄프 배합비율'!W36</f>
        <v>0</v>
      </c>
      <c r="Z33" s="112" t="str">
        <f>'초지 펄프 배합비율'!X36</f>
        <v/>
      </c>
      <c r="AA33" s="112">
        <f>'초지 펄프 배합비율'!Y36</f>
        <v>0</v>
      </c>
      <c r="AB33" s="112">
        <f>'초지 펄프 배합비율'!Z36</f>
        <v>0</v>
      </c>
      <c r="AC33" s="112">
        <f>'초지 펄프 배합비율'!AA36</f>
        <v>47229</v>
      </c>
      <c r="AD33" s="114">
        <f t="shared" si="0"/>
        <v>1</v>
      </c>
    </row>
    <row r="34" spans="2:30" x14ac:dyDescent="0.45">
      <c r="B34" t="s">
        <v>183</v>
      </c>
      <c r="C34" s="110">
        <v>46053</v>
      </c>
      <c r="D34" s="111">
        <v>0.27083333333333298</v>
      </c>
      <c r="E34" s="112" t="str">
        <f>'초지 펄프 배합비율'!C37</f>
        <v>Acacia</v>
      </c>
      <c r="F34" s="112">
        <f>'초지 펄프 배합비율'!D37</f>
        <v>46000</v>
      </c>
      <c r="G34" s="113">
        <f>'초지 펄프 배합비율'!E37</f>
        <v>0.88928412627834597</v>
      </c>
      <c r="H34" s="112" t="str">
        <f>'초지 펄프 배합비율'!F37</f>
        <v/>
      </c>
      <c r="I34" s="112">
        <f>'초지 펄프 배합비율'!G37</f>
        <v>0</v>
      </c>
      <c r="J34" s="112">
        <f>'초지 펄프 배합비율'!H37</f>
        <v>0</v>
      </c>
      <c r="K34" s="112" t="str">
        <f>'초지 펄프 배합비율'!I37</f>
        <v/>
      </c>
      <c r="L34" s="112">
        <f>'초지 펄프 배합비율'!J37</f>
        <v>0</v>
      </c>
      <c r="M34" s="112">
        <f>'초지 펄프 배합비율'!K37</f>
        <v>0</v>
      </c>
      <c r="N34" s="112" t="str">
        <f>'초지 펄프 배합비율'!L37</f>
        <v/>
      </c>
      <c r="O34" s="112">
        <f>'초지 펄프 배합비율'!M37</f>
        <v>0</v>
      </c>
      <c r="P34" s="112">
        <f>'초지 펄프 배합비율'!N37</f>
        <v>0</v>
      </c>
      <c r="Q34" s="112" t="str">
        <f>'초지 펄프 배합비율'!O37</f>
        <v>멧자</v>
      </c>
      <c r="R34" s="112">
        <f>'초지 펄프 배합비율'!P37</f>
        <v>5727</v>
      </c>
      <c r="S34" s="115">
        <f>'초지 펄프 배합비율'!Q37</f>
        <v>0.11071587372165406</v>
      </c>
      <c r="T34" s="112" t="str">
        <f>'초지 펄프 배합비율'!R37</f>
        <v/>
      </c>
      <c r="U34" s="112">
        <f>'초지 펄프 배합비율'!S37</f>
        <v>0</v>
      </c>
      <c r="V34" s="112">
        <f>'초지 펄프 배합비율'!T37</f>
        <v>0</v>
      </c>
      <c r="W34" s="112" t="str">
        <f>'초지 펄프 배합비율'!U37</f>
        <v/>
      </c>
      <c r="X34" s="112">
        <f>'초지 펄프 배합비율'!V37</f>
        <v>0</v>
      </c>
      <c r="Y34" s="112">
        <f>'초지 펄프 배합비율'!W37</f>
        <v>0</v>
      </c>
      <c r="Z34" s="112" t="str">
        <f>'초지 펄프 배합비율'!X37</f>
        <v/>
      </c>
      <c r="AA34" s="112">
        <f>'초지 펄프 배합비율'!Y37</f>
        <v>0</v>
      </c>
      <c r="AB34" s="112">
        <f>'초지 펄프 배합비율'!Z37</f>
        <v>0</v>
      </c>
      <c r="AC34" s="112">
        <f>'초지 펄프 배합비율'!AA37</f>
        <v>51727</v>
      </c>
      <c r="AD34" s="114">
        <f t="shared" si="0"/>
        <v>1</v>
      </c>
    </row>
  </sheetData>
  <mergeCells count="8">
    <mergeCell ref="AC1:AC2"/>
    <mergeCell ref="AD1:AD2"/>
    <mergeCell ref="A1:A2"/>
    <mergeCell ref="B1:B2"/>
    <mergeCell ref="C1:C2"/>
    <mergeCell ref="D1:D2"/>
    <mergeCell ref="E1:P1"/>
    <mergeCell ref="Q1:AB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33</vt:i4>
      </vt:variant>
    </vt:vector>
  </HeadingPairs>
  <TitlesOfParts>
    <vt:vector size="3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초지 펄프 배합비율</vt:lpstr>
      <vt:lpstr>QLT_prod_spec (수정금지_MES용)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2011-01-22T01:25:11Z</dcterms:created>
  <dc:creator>user</dc:creator>
  <cp:lastModifiedBy>Kim Jieon</cp:lastModifiedBy>
  <cp:lastPrinted>2011-04-08T14:28:43Z</cp:lastPrinted>
  <dcterms:modified xsi:type="dcterms:W3CDTF">2026-08-04T00:13:30Z</dcterms:modified>
</cp:coreProperties>
</file>